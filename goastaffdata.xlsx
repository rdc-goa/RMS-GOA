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231369C-5780-4450-AF63-CB5BD602B3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5" i="1" l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29" i="1"/>
  <c r="E11" i="1"/>
  <c r="E58" i="1"/>
  <c r="E59" i="1"/>
  <c r="E48" i="1"/>
  <c r="E104" i="1"/>
  <c r="E12" i="1"/>
  <c r="E60" i="1"/>
  <c r="E4" i="1"/>
  <c r="E49" i="1"/>
  <c r="E13" i="1"/>
  <c r="E61" i="1"/>
  <c r="E14" i="1"/>
  <c r="E30" i="1"/>
  <c r="E62" i="1"/>
  <c r="E63" i="1"/>
  <c r="E64" i="1"/>
  <c r="E15" i="1"/>
  <c r="E50" i="1"/>
  <c r="E81" i="1"/>
  <c r="E51" i="1"/>
  <c r="E65" i="1"/>
  <c r="E66" i="1"/>
  <c r="E52" i="1"/>
  <c r="E5" i="1"/>
  <c r="E67" i="1"/>
  <c r="E68" i="1"/>
  <c r="E82" i="1"/>
  <c r="E6" i="1"/>
  <c r="E31" i="1"/>
  <c r="E105" i="1"/>
  <c r="E7" i="1"/>
  <c r="E32" i="1"/>
  <c r="E53" i="1"/>
  <c r="E33" i="1"/>
  <c r="E16" i="1"/>
  <c r="E54" i="1"/>
  <c r="E69" i="1"/>
  <c r="E34" i="1"/>
  <c r="E17" i="1"/>
  <c r="E8" i="1"/>
  <c r="E35" i="1"/>
  <c r="E70" i="1"/>
  <c r="E71" i="1"/>
  <c r="E83" i="1"/>
  <c r="E18" i="1"/>
  <c r="E36" i="1"/>
  <c r="E9" i="1"/>
  <c r="E37" i="1"/>
  <c r="E38" i="1"/>
  <c r="E39" i="1"/>
  <c r="E72" i="1"/>
  <c r="E40" i="1"/>
  <c r="E55" i="1"/>
  <c r="E41" i="1"/>
  <c r="E73" i="1"/>
  <c r="E74" i="1"/>
  <c r="E42" i="1"/>
  <c r="E19" i="1"/>
  <c r="E75" i="1"/>
  <c r="E20" i="1"/>
  <c r="E43" i="1"/>
  <c r="E21" i="1"/>
  <c r="E22" i="1"/>
  <c r="E23" i="1"/>
  <c r="E44" i="1"/>
  <c r="E45" i="1"/>
  <c r="E76" i="1"/>
  <c r="E24" i="1"/>
  <c r="E27" i="1"/>
  <c r="E46" i="1"/>
  <c r="E56" i="1"/>
  <c r="E77" i="1"/>
  <c r="E78" i="1"/>
  <c r="E47" i="1"/>
  <c r="E79" i="1"/>
  <c r="E80" i="1"/>
  <c r="E57" i="1"/>
  <c r="E10" i="1"/>
  <c r="E25" i="1"/>
  <c r="E28" i="1"/>
  <c r="E26" i="1"/>
  <c r="E84" i="1"/>
</calcChain>
</file>

<file path=xl/sharedStrings.xml><?xml version="1.0" encoding="utf-8"?>
<sst xmlns="http://schemas.openxmlformats.org/spreadsheetml/2006/main" count="841" uniqueCount="296">
  <si>
    <t>Title</t>
  </si>
  <si>
    <t>Institute</t>
  </si>
  <si>
    <t>Department</t>
  </si>
  <si>
    <t>Designation</t>
  </si>
  <si>
    <t>Ms</t>
  </si>
  <si>
    <t>MONALISA CHOWDHURY</t>
  </si>
  <si>
    <t>Forensics Science</t>
  </si>
  <si>
    <t>Assistant Professor</t>
  </si>
  <si>
    <t>NAMRATA SINGH</t>
  </si>
  <si>
    <t>Parul College of Information Technology &amp; Computer Science</t>
  </si>
  <si>
    <t>Bachelor of Computer Application</t>
  </si>
  <si>
    <t>Mr</t>
  </si>
  <si>
    <t>ASHOK POUDEL</t>
  </si>
  <si>
    <t>Parul College of Engineering</t>
  </si>
  <si>
    <t>Computer Science and Engineering</t>
  </si>
  <si>
    <t>network engineer</t>
  </si>
  <si>
    <t>Dr</t>
  </si>
  <si>
    <t>ASHOK BALDEV TEJWANI</t>
  </si>
  <si>
    <t>B G POORNIMA</t>
  </si>
  <si>
    <t>Parul College of Management</t>
  </si>
  <si>
    <t>BUSINESS ADMINISTRATOR</t>
  </si>
  <si>
    <t>VASUDEVAN K</t>
  </si>
  <si>
    <t>Associate Professor</t>
  </si>
  <si>
    <t>Mrs</t>
  </si>
  <si>
    <t>SUMIKSHA SUDHAKAR DESSAI</t>
  </si>
  <si>
    <t>Parul College of Pharmacy</t>
  </si>
  <si>
    <t>Pharmacy</t>
  </si>
  <si>
    <t>Laboratory Assistant</t>
  </si>
  <si>
    <t>HENCIA MERLYN GOMES</t>
  </si>
  <si>
    <t>SWIZEL FERNANDES</t>
  </si>
  <si>
    <t>Parul College of Nursing</t>
  </si>
  <si>
    <t>Bachelor of Science in Nursing</t>
  </si>
  <si>
    <t>Lecturer</t>
  </si>
  <si>
    <t>APPAJI MOLU SAWANT DESSAI</t>
  </si>
  <si>
    <t>Peon</t>
  </si>
  <si>
    <t>MARK SHANE FERNANDES</t>
  </si>
  <si>
    <t>STORE KEEPER CUM LABORATORY ASSISTANT</t>
  </si>
  <si>
    <t>RAKSHA RAJESH DIVKAR</t>
  </si>
  <si>
    <t>Computer Operator</t>
  </si>
  <si>
    <t>PRAKASH CHANDRU VELIP</t>
  </si>
  <si>
    <t>Library Attendant</t>
  </si>
  <si>
    <t>VITHAL PANDURANG SATARKAR</t>
  </si>
  <si>
    <t>Accountant</t>
  </si>
  <si>
    <t>DURVA DHARMU PAGI</t>
  </si>
  <si>
    <t>ANITA BONIFACIO SIMOES</t>
  </si>
  <si>
    <t>BABITA PAGI</t>
  </si>
  <si>
    <t>BRIJILA SIMOES</t>
  </si>
  <si>
    <t>NIQUELINA MARTINS</t>
  </si>
  <si>
    <t>Laboratory Attendent</t>
  </si>
  <si>
    <t>DORITA MASCARENHAS</t>
  </si>
  <si>
    <t>ATTENDENT</t>
  </si>
  <si>
    <t>INISHA SIMOES</t>
  </si>
  <si>
    <t>SONALY BABI JOSHI</t>
  </si>
  <si>
    <t>ABHINABA GHOSH</t>
  </si>
  <si>
    <t>RINKI SUJITKUMAR MISHRA</t>
  </si>
  <si>
    <t>MASTER IN BUSINESS ADMINISTRATION</t>
  </si>
  <si>
    <t>AVASAR MARU</t>
  </si>
  <si>
    <t>Assistant Manager</t>
  </si>
  <si>
    <t>NILESH HARISHANKAR YADAV</t>
  </si>
  <si>
    <t>DEPUTY MANAGER</t>
  </si>
  <si>
    <t>SANKET S VADNERKAR</t>
  </si>
  <si>
    <t>Office Assistant</t>
  </si>
  <si>
    <t>SATYAJITSINH HARENDRASINH GOHIL</t>
  </si>
  <si>
    <t>VANDIT PINAKINBHAI ANJARIA</t>
  </si>
  <si>
    <t>DIRECTOR</t>
  </si>
  <si>
    <t>VIJAY PUNDLIK PATIL</t>
  </si>
  <si>
    <t>Purchase Assistant</t>
  </si>
  <si>
    <t>YASH KALPESHKUMAR PATEL</t>
  </si>
  <si>
    <t>manager</t>
  </si>
  <si>
    <t>KETAL GAUTAM JANI</t>
  </si>
  <si>
    <t>RIDDHI GHANSHYAM KAPOPARA</t>
  </si>
  <si>
    <t>PANARA NENSI</t>
  </si>
  <si>
    <t>BISHAL KHAWAS</t>
  </si>
  <si>
    <t>LAXMI JAIRAM KAMAT</t>
  </si>
  <si>
    <t>Parul College of Physiotherapy</t>
  </si>
  <si>
    <t>PHYSIOTHERAPY</t>
  </si>
  <si>
    <t>SANJANA ULLAS TALEKAR</t>
  </si>
  <si>
    <t>Tutor</t>
  </si>
  <si>
    <t>AMAR VIJAY JAMNEKAR</t>
  </si>
  <si>
    <t>ANUPAM KUMAR</t>
  </si>
  <si>
    <t>Professor</t>
  </si>
  <si>
    <t>DHAVAL MANSUKHLAL NIMAVAT</t>
  </si>
  <si>
    <t>K. JEYALAKSHMI</t>
  </si>
  <si>
    <t>Student Dean</t>
  </si>
  <si>
    <t>LALIT LATA JHA</t>
  </si>
  <si>
    <t>Principal</t>
  </si>
  <si>
    <t>MANASI MAHESH PAWASKAR</t>
  </si>
  <si>
    <t>Biotechnology</t>
  </si>
  <si>
    <t>PRABHAT BABAJI DESSAI</t>
  </si>
  <si>
    <t>ROHIT MISHRA</t>
  </si>
  <si>
    <t>SANJEETA TEJAS RANE SARDESSAI</t>
  </si>
  <si>
    <t>DAMODAR SILVARAJ GOUNDAR</t>
  </si>
  <si>
    <t>JEYAGANESH V</t>
  </si>
  <si>
    <t>MEET SHAH</t>
  </si>
  <si>
    <t>Office Superintendent</t>
  </si>
  <si>
    <t>SOMNATH BHATTACHARYA</t>
  </si>
  <si>
    <t>BETTY OOMMEN KOSHY</t>
  </si>
  <si>
    <t>CHINNAM SUPRIYA</t>
  </si>
  <si>
    <t>ABHAYA ATISH CHARI</t>
  </si>
  <si>
    <t>ANUPAMA BISWAS</t>
  </si>
  <si>
    <t>DEEPTI ARUN MOHITE</t>
  </si>
  <si>
    <t>DHRUVI MAYANK PATEL</t>
  </si>
  <si>
    <t>JURELLA PRINCY DA SILVA</t>
  </si>
  <si>
    <t>RACHANA SHYAM FAL DESSAI</t>
  </si>
  <si>
    <t>SHIRLEY LISA FERNANDES</t>
  </si>
  <si>
    <t>SHRADHA UMESH NAIK</t>
  </si>
  <si>
    <t>VAISHNAVI VILAS GAONKAR</t>
  </si>
  <si>
    <t>CYNTIA CUSTODIO SIMOES</t>
  </si>
  <si>
    <t>SWEEPER</t>
  </si>
  <si>
    <t>FELCY SIMOES</t>
  </si>
  <si>
    <t>WILMA FERNANDES</t>
  </si>
  <si>
    <t>SHAH HARSHAL ANILBHAI</t>
  </si>
  <si>
    <t>Professor &amp; Dean</t>
  </si>
  <si>
    <t>DILKUSH BHIKARO GAONKAR</t>
  </si>
  <si>
    <t>Master of Science</t>
  </si>
  <si>
    <t>Driver</t>
  </si>
  <si>
    <t>KARIM KHAN</t>
  </si>
  <si>
    <t>SHUBHAM BHANUDAS NAIK DESSAI</t>
  </si>
  <si>
    <t>Garden &amp; Sanitation Supervisor</t>
  </si>
  <si>
    <t>BRIJESH FAL DESAI</t>
  </si>
  <si>
    <t>GARDEN SUPERVISER</t>
  </si>
  <si>
    <t>SUMER SHAILESHA DAUZENCAR</t>
  </si>
  <si>
    <t>SAVITA MASURKAR</t>
  </si>
  <si>
    <t>AGEEMA REBELO</t>
  </si>
  <si>
    <t>PA TO PRINCIPAL</t>
  </si>
  <si>
    <t>SEEMA SHRIKANT GUNAGI</t>
  </si>
  <si>
    <t>Librarian</t>
  </si>
  <si>
    <t>AJAY PRAKASH YADAV</t>
  </si>
  <si>
    <t>KARMADIPSINH K VALA</t>
  </si>
  <si>
    <t>University Office</t>
  </si>
  <si>
    <t>Student Section</t>
  </si>
  <si>
    <t>Clerk</t>
  </si>
  <si>
    <t>MADHAV REDDY</t>
  </si>
  <si>
    <t>Admission Cell</t>
  </si>
  <si>
    <t>Marketing Manager</t>
  </si>
  <si>
    <t>PRANIL SUNIL NAIK</t>
  </si>
  <si>
    <t>TUSHARKUMAR RAJENDRABHAI TRIVEDI</t>
  </si>
  <si>
    <t>Type</t>
  </si>
  <si>
    <t>Faculty</t>
  </si>
  <si>
    <t>Email</t>
  </si>
  <si>
    <t>Name</t>
  </si>
  <si>
    <t>Phone</t>
  </si>
  <si>
    <t>MIS ID</t>
  </si>
  <si>
    <t>Orcid</t>
  </si>
  <si>
    <t>Google_Scholar_ID</t>
  </si>
  <si>
    <t>A</t>
  </si>
  <si>
    <t>Faculty of Applied and Health Sciences</t>
  </si>
  <si>
    <t>Faculty of Engineering, IT &amp; CS</t>
  </si>
  <si>
    <t>Faculty of Management Studies</t>
  </si>
  <si>
    <t>Faculty of Nursing</t>
  </si>
  <si>
    <t>Faculty of Pharmacy</t>
  </si>
  <si>
    <t>Faculty of Physiotherapy</t>
  </si>
  <si>
    <t>Parul College of Applied and Health Sciences</t>
  </si>
  <si>
    <t>JAIMEEL.SHAH1@goa.paruluniversity.ac.in</t>
  </si>
  <si>
    <t>SHIVENDRA SINGH.CHAUHAN2@goa.paruluniversity.ac.in</t>
  </si>
  <si>
    <t>SEJAS.PATEL3@goa.paruluniversity.ac.in</t>
  </si>
  <si>
    <t>HARSHIL.CHAUHAN4@goa.paruluniversity.ac.in</t>
  </si>
  <si>
    <t>ISHITA.RANA5@goa.paruluniversity.ac.in</t>
  </si>
  <si>
    <t>MANSI.MAKWANA6@goa.paruluniversity.ac.in</t>
  </si>
  <si>
    <t>DIVYANSHU.PANDAY7@goa.paruluniversity.ac.in</t>
  </si>
  <si>
    <t>KRUSHNAKANT.SENGAL8@goa.paruluniversity.ac.in</t>
  </si>
  <si>
    <t>HETVI.JOSHI9@goa.paruluniversity.ac.in</t>
  </si>
  <si>
    <t>RACHIT.ANJARIA10@goa.paruluniversity.ac.in</t>
  </si>
  <si>
    <t>zalak.dani@gmail.com</t>
  </si>
  <si>
    <t>patelanjali073@gmail.com</t>
  </si>
  <si>
    <t>DIVYANG.JOSHI13@goa.paruluniversity.ac.in</t>
  </si>
  <si>
    <t>vaideodedra6@gmail.com</t>
  </si>
  <si>
    <t>shah.dhruvil91@gmail.com</t>
  </si>
  <si>
    <t>hariharmehta69@gmail.com</t>
  </si>
  <si>
    <t/>
  </si>
  <si>
    <t>gadhaviajay84@gmail.com</t>
  </si>
  <si>
    <t>jaimin17590@gmail.com</t>
  </si>
  <si>
    <t>CHIRAG.THAKKAR20@goa.paruluniversity.ac.in</t>
  </si>
  <si>
    <t>dauzencarsumer@gmail.com</t>
  </si>
  <si>
    <t>9764391361agee@gmail.com</t>
  </si>
  <si>
    <t>seemagunaji12@gmail.com</t>
  </si>
  <si>
    <t>faldesaibrijesh@gmail.com</t>
  </si>
  <si>
    <t>patilsavita20188@gmail.com</t>
  </si>
  <si>
    <t>KARMADIPSINH.VALA26@goa.paruluniversity.ac.in</t>
  </si>
  <si>
    <t>HARSHAL.SHAH27@goa.paruluniversity.ac.in</t>
  </si>
  <si>
    <t>MEET.SHAH28@goa.paruluniversity.ac.in</t>
  </si>
  <si>
    <t>DHRUVI.PATEL29@goa.paruluniversity.ac.in</t>
  </si>
  <si>
    <t>BETTY.KOSHY30@goa.paruluniversity.ac.in</t>
  </si>
  <si>
    <t>DHAVAL.NIMAVAT31@goa.paruluniversity.ac.in</t>
  </si>
  <si>
    <t>LALIT.JHA32@goa.paruluniversity.ac.in</t>
  </si>
  <si>
    <t>ASHOK.TEJWANI33@goa.paruluniversity.ac.in</t>
  </si>
  <si>
    <t>RINKI.MISHRA34@goa.paruluniversity.ac.in</t>
  </si>
  <si>
    <t>AJAY.YADAV35@goa.paruluniversity.ac.in</t>
  </si>
  <si>
    <t>DEEPTI.MOHITE36@goa.paruluniversity.ac.in</t>
  </si>
  <si>
    <t>VAISHNAVI.GAONKAR37@goa.paruluniversity.ac.in</t>
  </si>
  <si>
    <t>ABHAYA.CHARI38@goa.paruluniversity.ac.in</t>
  </si>
  <si>
    <t>shirleyfernandes0601@gmail.com</t>
  </si>
  <si>
    <t>DASILVAJURELLA@gmail.com</t>
  </si>
  <si>
    <t>RACHANA.FAL DESSAI41@goa.paruluniversity.ac.in</t>
  </si>
  <si>
    <t>DAMODAR.GOUNDAR42@goa.paruluniversity.ac.in</t>
  </si>
  <si>
    <t>PRABHAT.DESSAI43@goa.paruluniversity.ac.in</t>
  </si>
  <si>
    <t>JEYALAKSHMI.K44@goa.paruluniversity.ac.in</t>
  </si>
  <si>
    <t>MANASI.PAWASKAR45@goa.paruluniversity.ac.in</t>
  </si>
  <si>
    <t>SHRADHA.NAIK46@goa.paruluniversity.ac.in</t>
  </si>
  <si>
    <t>SANJEETA.RANESARDESSAI47@goa.paruluniversity.ac.in</t>
  </si>
  <si>
    <t>JEYAGANESH.V48@goa.paruluniversity.ac.in</t>
  </si>
  <si>
    <t>ANUPAM.KUMAR49@goa.paruluniversity.ac.in</t>
  </si>
  <si>
    <t>TUSHARKUMAR.TRIVEDI50@goa.paruluniversity.ac.in</t>
  </si>
  <si>
    <t>MADHAV.REDDY51@goa.paruluniversity.ac.in</t>
  </si>
  <si>
    <t>SHUBHAM.DESSAI52@goa.paruluniversity.ac.in</t>
  </si>
  <si>
    <t>AMAR.JAMNEKAR53@goa.paruluniversity.ac.in</t>
  </si>
  <si>
    <t>CHINNAM.SUPRIYA54@goa.paruluniversity.ac.in</t>
  </si>
  <si>
    <t>ROHIT.MISHRA55@goa.paruluniversity.ac.in</t>
  </si>
  <si>
    <t>ANUPAMA.BISWAS56@goa.paruluniversity.ac.in</t>
  </si>
  <si>
    <t>SANJANA.TALEKAR57@goa.paruluniversity.ac.in</t>
  </si>
  <si>
    <t>WILMA.FERNANDES58@goa.paruluniversity.ac.in</t>
  </si>
  <si>
    <t>CYNTIA.SIMOES59@goa.paruluniversity.ac.in</t>
  </si>
  <si>
    <t>SOMNATH.BHATTACHARYA60@goa.paruluniversity.ac.in</t>
  </si>
  <si>
    <t>DILKUSH.GAONKAR61@goa.paruluniversity.ac.in</t>
  </si>
  <si>
    <t>PRANIL.NAIK62@goa.paruluniversity.ac.in</t>
  </si>
  <si>
    <t>FELCY.SIMOES63@goa.paruluniversity.ac.in</t>
  </si>
  <si>
    <t>KARIM.KHAN64@goa.paruluniversity.ac.in</t>
  </si>
  <si>
    <t>LAXMI.KAMAT65@goa.paruluniversity.ac.in</t>
  </si>
  <si>
    <t>BISHAL.KHAWAS66@goa.paruluniversity.ac.in</t>
  </si>
  <si>
    <t>satyajitsinh.gohil67@goa.paruluniversity.ac.in</t>
  </si>
  <si>
    <t>abhinaba.ghosh68@goa.paruluniversity.ac.in</t>
  </si>
  <si>
    <t>dorita.mascarenhas69@goa.paruluniversity.ac.in</t>
  </si>
  <si>
    <t>vithal.satarkar70@goa.paruluniversity.ac.in</t>
  </si>
  <si>
    <t>brijila.simoes71@goa.paruluniversity.ac.in</t>
  </si>
  <si>
    <t>inisha.simoes72@goa.paruluniversity.ac.in</t>
  </si>
  <si>
    <t>sonaly.joshi73@goa.paruluniversity.ac.in</t>
  </si>
  <si>
    <t>babita.pagi74@goa.paruluniversity.ac.in</t>
  </si>
  <si>
    <t>niquelina.martins75@goa.paruluniversity.ac.in</t>
  </si>
  <si>
    <t>prakash.velip76@goa.paruluniversity.ac.in</t>
  </si>
  <si>
    <t>anita.simoes77@goa.paruluniversity.ac.in</t>
  </si>
  <si>
    <t>durva.pagi78@goa.paruluniversity.ac.in</t>
  </si>
  <si>
    <t>dessairoshni04@gmail.com</t>
  </si>
  <si>
    <t>raksha.divkar80@goa.paruluniversity.ac.in</t>
  </si>
  <si>
    <t>vasudevan.kuppan81@goa.paruluniversity.ac.in</t>
  </si>
  <si>
    <t>markshane.fernandes82@goa.paruluniversity.ac.in</t>
  </si>
  <si>
    <t>vandit.anjaria83@goa.paruluniversity.ac.in</t>
  </si>
  <si>
    <t>yash.patel84@goa.paruluniversity.ac.in</t>
  </si>
  <si>
    <t>nilesh.yadav85@goa.paruluniversity.ac.in</t>
  </si>
  <si>
    <t>avasar.maru86@goa.paruluniversity.ac.in</t>
  </si>
  <si>
    <t>riddhi.kapopara87@goa.paruluniversity.ac.in</t>
  </si>
  <si>
    <t>vijay.patil88@goa.paruluniversity.ac.in</t>
  </si>
  <si>
    <t>sanket.vadnerkar89@goa.paruluniversity.ac.in</t>
  </si>
  <si>
    <t>ketal.jani90@goa.paruluniversity.ac.in</t>
  </si>
  <si>
    <t>nensi.panara91@goa.paruluniversity.ac.in</t>
  </si>
  <si>
    <t>swizel.fernandes92@goa.paruluniversity.ac.in</t>
  </si>
  <si>
    <t>hencia merlyn.gomes93@goa.paruluniversity.ac.in</t>
  </si>
  <si>
    <t>sumiksha.dessai94@goa.paruluniversity.ac.in</t>
  </si>
  <si>
    <t>poornima.g95@goa.paruluniversity.ac.in</t>
  </si>
  <si>
    <t>anisha.naik96@goa.paruluniversity.ac.in</t>
  </si>
  <si>
    <t>sarvasi.devidas97@goa.paruluniversity.ac.in</t>
  </si>
  <si>
    <t>pranali.shetkar98@goa.paruluniversity.ac.in</t>
  </si>
  <si>
    <t>monalisa.chowdhury99@goa.paruluniversity.ac.in</t>
  </si>
  <si>
    <t>ashok.poudel100@goa.paruluniversity.ac.in</t>
  </si>
  <si>
    <t>namrata.singh101@goa.paruluniversity.ac.in</t>
  </si>
  <si>
    <t>harsha.dessai102@goa.paruluniversity.ac.in</t>
  </si>
  <si>
    <t>JAIMEEL MANOJBHAI SHAH</t>
  </si>
  <si>
    <t>SHIVENDRA SINGH CHAUHAN</t>
  </si>
  <si>
    <t>SEJAS JAYENDRAKUMAR PATEL</t>
  </si>
  <si>
    <t>CHAUHAN HARSHIL NARENDRABHAI</t>
  </si>
  <si>
    <t>ISHITA JAYENDRASINH RANA</t>
  </si>
  <si>
    <t>MANSI VINODBHAI MAKWANA</t>
  </si>
  <si>
    <t>DIVYANSHU ROHIT PANDAY</t>
  </si>
  <si>
    <t>KRUSHNAKANT SENGAL</t>
  </si>
  <si>
    <t>HETVI ALPESHKUMAR JOSHI</t>
  </si>
  <si>
    <t>RACHIT PINAKINBHAI ANJARIA</t>
  </si>
  <si>
    <t>ZALAK MAYURBHAI DANI</t>
  </si>
  <si>
    <t>ANJALI ASHOKBHAI PANSERIYA</t>
  </si>
  <si>
    <t>DIVYANG JITENDRAKUMAR JOSHI</t>
  </si>
  <si>
    <t>VAIDE JAYMALBHAI ODEDRA</t>
  </si>
  <si>
    <t>DHRUVIL MUKESH SHAH</t>
  </si>
  <si>
    <t>HARIHAR HARESHBHAI MEHTA</t>
  </si>
  <si>
    <t>DEMO STAFF</t>
  </si>
  <si>
    <t>AJAYKUMAR NATWARSINH GADHAVI</t>
  </si>
  <si>
    <t>JAIMIN MUKESHBHAI MACHHI</t>
  </si>
  <si>
    <t>CHIRAG KANUBHAI THAKKAR</t>
  </si>
  <si>
    <t>ANISHA UDDHAV NAIK</t>
  </si>
  <si>
    <t>SARVASVI SANTOSH DEVIDAS</t>
  </si>
  <si>
    <t>PRANALI PREMANAND SHETKAR</t>
  </si>
  <si>
    <t>HARSHA RAJENDRA DESSAI</t>
  </si>
  <si>
    <t>MIS/ERP</t>
  </si>
  <si>
    <t>Account Department(Salary)</t>
  </si>
  <si>
    <t>Central Contact Center</t>
  </si>
  <si>
    <t>Event</t>
  </si>
  <si>
    <t>Establishment Section</t>
  </si>
  <si>
    <t>HEAD CENTRAL STUDENT SECTION</t>
  </si>
  <si>
    <t>MIS EXECUTIVE</t>
  </si>
  <si>
    <t>Head of Department - Central Contact Center</t>
  </si>
  <si>
    <t>Manager</t>
  </si>
  <si>
    <t>Head Domestics Operations</t>
  </si>
  <si>
    <t>CHIEF EXECUTIVE OFFICER</t>
  </si>
  <si>
    <t>JUNIOR HR EXECUTIVE</t>
  </si>
  <si>
    <t>HR EXECUTIVE</t>
  </si>
  <si>
    <t>ASSISTANT DIRECTOR  - MARKETING</t>
  </si>
  <si>
    <t>Institutional</t>
  </si>
  <si>
    <t>pcahs@goa.paruluniversity.ac.in</t>
  </si>
  <si>
    <t>pceitcs@goa.paruluniversity.ac.in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</si>
</sst>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&quot;JetBrains Mono&quot;"/>
    </font>
    <font>
      <u/>
      <sz val="11"/>
      <color theme="1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0" fontId="5" fillId="0" borderId="0"/>
    <xf numFmtId="0" fontId="7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0" borderId="0" xfId="0" applyFont="1"/>
    <xf numFmtId="0" fontId="0" fillId="0" borderId="1" xfId="0" applyBorder="1"/>
    <xf numFmtId="0" fontId="0" fillId="0" borderId="1" xfId="0" applyBorder="1" applyAlignment="1">
      <alignment horizontal="left" wrapText="1"/>
    </xf>
    <xf numFmtId="1" fontId="0" fillId="0" borderId="1" xfId="0" applyNumberFormat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6" fillId="0" borderId="0" xfId="2" applyFont="1" applyAlignment="1">
      <alignment horizontal="left" vertical="center" wrapText="1"/>
    </xf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left" wrapText="1"/>
    </xf>
    <xf numFmtId="0" fontId="0" fillId="0" borderId="0" xfId="0" applyFill="1"/>
    <xf numFmtId="0" fontId="2" fillId="0" borderId="1" xfId="0" applyFont="1" applyFill="1" applyBorder="1" applyAlignment="1">
      <alignment horizontal="left"/>
    </xf>
    <xf numFmtId="0" fontId="0" fillId="0" borderId="1" xfId="0" applyFill="1" applyBorder="1"/>
    <xf numFmtId="0" fontId="4" fillId="0" borderId="1" xfId="1" applyBorder="1"/>
  </cellXfs>
  <cellStyles count="4">
    <cellStyle name="Hyperlink" xfId="1" builtinId="8"/>
    <cellStyle name="Hyperlink 2" xfId="3" xr:uid="{698B0D37-2DE7-4B9E-8EF3-B5A327CE9BD8}"/>
    <cellStyle name="Normal" xfId="0" builtinId="0"/>
    <cellStyle name="Normal 2" xfId="2" xr:uid="{78FF93D9-5DD1-4DD0-AA28-9AED58E7FC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pceitcs@goa.paruluniversity.ac.in" TargetMode="External"/><Relationship Id="rId1" Type="http://schemas.openxmlformats.org/officeDocument/2006/relationships/hyperlink" Target="mailto:pcahs@goa.paruluniversity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5"/>
  <sheetViews>
    <sheetView tabSelected="1" workbookViewId="0">
      <selection activeCell="B3" sqref="B3"/>
    </sheetView>
  </sheetViews>
  <sheetFormatPr defaultRowHeight="14.4"/>
  <cols>
    <col min="1" max="1" width="14.21875" customWidth="1"/>
    <col min="2" max="2" width="62.77734375" customWidth="1"/>
    <col min="3" max="3" width="4.44140625" style="12" bestFit="1" customWidth="1"/>
    <col min="4" max="4" width="39.21875" customWidth="1"/>
    <col min="5" max="5" width="40" customWidth="1"/>
    <col min="6" max="6" width="13.5546875" bestFit="1" customWidth="1"/>
    <col min="7" max="7" width="10.88671875" bestFit="1" customWidth="1"/>
    <col min="8" max="8" width="32" style="12" customWidth="1"/>
    <col min="9" max="9" width="57.88671875" style="12" customWidth="1"/>
    <col min="10" max="10" width="34.33203125" bestFit="1" customWidth="1"/>
    <col min="11" max="11" width="39.109375" bestFit="1" customWidth="1"/>
  </cols>
  <sheetData>
    <row r="1" spans="1:13" s="2" customFormat="1">
      <c r="A1" s="6" t="s">
        <v>137</v>
      </c>
      <c r="B1" s="6" t="s">
        <v>139</v>
      </c>
      <c r="C1" s="10" t="s">
        <v>0</v>
      </c>
      <c r="D1" s="6" t="s">
        <v>145</v>
      </c>
      <c r="E1" s="6" t="s">
        <v>140</v>
      </c>
      <c r="F1" s="6" t="s">
        <v>142</v>
      </c>
      <c r="G1" s="7" t="s">
        <v>141</v>
      </c>
      <c r="H1" s="10" t="s">
        <v>138</v>
      </c>
      <c r="I1" s="10" t="s">
        <v>1</v>
      </c>
      <c r="J1" s="6" t="s">
        <v>2</v>
      </c>
      <c r="K1" s="1" t="s">
        <v>3</v>
      </c>
      <c r="L1" s="8" t="s">
        <v>143</v>
      </c>
      <c r="M1" s="6" t="s">
        <v>144</v>
      </c>
    </row>
    <row r="2" spans="1:13" s="2" customFormat="1">
      <c r="A2" s="9" t="s">
        <v>293</v>
      </c>
      <c r="B2" s="15" t="s">
        <v>294</v>
      </c>
      <c r="C2" s="10"/>
      <c r="D2" s="4" t="s">
        <v>152</v>
      </c>
      <c r="E2" s="4" t="s">
        <v>152</v>
      </c>
      <c r="F2" s="6"/>
      <c r="G2" s="7"/>
      <c r="H2" s="13" t="s">
        <v>146</v>
      </c>
      <c r="I2" s="11" t="s">
        <v>152</v>
      </c>
      <c r="J2" s="6"/>
      <c r="K2" s="1"/>
      <c r="L2" s="8"/>
      <c r="M2" s="6"/>
    </row>
    <row r="3" spans="1:13" s="2" customFormat="1">
      <c r="A3" s="9" t="s">
        <v>293</v>
      </c>
      <c r="B3" s="15" t="s">
        <v>295</v>
      </c>
      <c r="C3" s="10"/>
      <c r="D3" s="11" t="s">
        <v>13</v>
      </c>
      <c r="E3" s="11" t="s">
        <v>13</v>
      </c>
      <c r="F3" s="6"/>
      <c r="G3" s="7"/>
      <c r="H3" s="13" t="s">
        <v>147</v>
      </c>
      <c r="I3" s="11" t="s">
        <v>13</v>
      </c>
      <c r="J3" s="6"/>
      <c r="K3" s="1"/>
      <c r="L3" s="8"/>
      <c r="M3" s="6"/>
    </row>
    <row r="4" spans="1:13" s="2" customFormat="1">
      <c r="A4" s="3" t="s">
        <v>138</v>
      </c>
      <c r="B4" s="4" t="s">
        <v>181</v>
      </c>
      <c r="C4" s="11" t="s">
        <v>4</v>
      </c>
      <c r="D4" s="4" t="s">
        <v>101</v>
      </c>
      <c r="E4" s="3" t="str">
        <f t="shared" ref="E4:E35" si="0">_xlfn.CONCAT(C4," ",D4)</f>
        <v>Ms DHRUVI MAYANK PATEL</v>
      </c>
      <c r="F4" s="5">
        <v>29</v>
      </c>
      <c r="G4" s="5">
        <v>9560326825</v>
      </c>
      <c r="H4" s="13" t="s">
        <v>146</v>
      </c>
      <c r="I4" s="11" t="s">
        <v>152</v>
      </c>
      <c r="J4" s="4" t="s">
        <v>6</v>
      </c>
      <c r="K4" s="4" t="s">
        <v>7</v>
      </c>
      <c r="L4" s="3"/>
      <c r="M4" s="3"/>
    </row>
    <row r="5" spans="1:13" s="2" customFormat="1">
      <c r="A5" s="3" t="s">
        <v>138</v>
      </c>
      <c r="B5" s="4" t="s">
        <v>197</v>
      </c>
      <c r="C5" s="11" t="s">
        <v>16</v>
      </c>
      <c r="D5" s="4" t="s">
        <v>86</v>
      </c>
      <c r="E5" s="3" t="str">
        <f t="shared" si="0"/>
        <v>Dr MANASI MAHESH PAWASKAR</v>
      </c>
      <c r="F5" s="5">
        <v>45</v>
      </c>
      <c r="G5" s="5">
        <v>8390888023</v>
      </c>
      <c r="H5" s="13" t="s">
        <v>146</v>
      </c>
      <c r="I5" s="11" t="s">
        <v>152</v>
      </c>
      <c r="J5" s="4" t="s">
        <v>87</v>
      </c>
      <c r="K5" s="4" t="s">
        <v>7</v>
      </c>
      <c r="L5" s="3"/>
      <c r="M5" s="3"/>
    </row>
    <row r="6" spans="1:13" s="2" customFormat="1">
      <c r="A6" s="3" t="s">
        <v>138</v>
      </c>
      <c r="B6" s="4" t="s">
        <v>201</v>
      </c>
      <c r="C6" s="11" t="s">
        <v>16</v>
      </c>
      <c r="D6" s="4" t="s">
        <v>79</v>
      </c>
      <c r="E6" s="3" t="str">
        <f t="shared" si="0"/>
        <v>Dr ANUPAM KUMAR</v>
      </c>
      <c r="F6" s="5">
        <v>49</v>
      </c>
      <c r="G6" s="5">
        <v>8591182923</v>
      </c>
      <c r="H6" s="13" t="s">
        <v>146</v>
      </c>
      <c r="I6" s="11" t="s">
        <v>152</v>
      </c>
      <c r="J6" s="4" t="s">
        <v>6</v>
      </c>
      <c r="K6" s="4" t="s">
        <v>80</v>
      </c>
      <c r="L6" s="3"/>
      <c r="M6" s="3"/>
    </row>
    <row r="7" spans="1:13" s="2" customFormat="1">
      <c r="A7" s="3" t="s">
        <v>138</v>
      </c>
      <c r="B7" s="4" t="s">
        <v>204</v>
      </c>
      <c r="C7" s="11" t="s">
        <v>11</v>
      </c>
      <c r="D7" s="4" t="s">
        <v>117</v>
      </c>
      <c r="E7" s="3" t="str">
        <f t="shared" si="0"/>
        <v>Mr SHUBHAM BHANUDAS NAIK DESSAI</v>
      </c>
      <c r="F7" s="5">
        <v>52</v>
      </c>
      <c r="G7" s="5">
        <v>8806227399</v>
      </c>
      <c r="H7" s="13" t="s">
        <v>146</v>
      </c>
      <c r="I7" s="11" t="s">
        <v>152</v>
      </c>
      <c r="J7" s="4" t="s">
        <v>6</v>
      </c>
      <c r="K7" s="4" t="s">
        <v>118</v>
      </c>
      <c r="L7" s="3"/>
      <c r="M7" s="3"/>
    </row>
    <row r="8" spans="1:13" s="2" customFormat="1">
      <c r="A8" s="3" t="s">
        <v>138</v>
      </c>
      <c r="B8" s="4" t="s">
        <v>213</v>
      </c>
      <c r="C8" s="11" t="s">
        <v>11</v>
      </c>
      <c r="D8" s="4" t="s">
        <v>113</v>
      </c>
      <c r="E8" s="3" t="str">
        <f t="shared" si="0"/>
        <v>Mr DILKUSH BHIKARO GAONKAR</v>
      </c>
      <c r="F8" s="5">
        <v>61</v>
      </c>
      <c r="G8" s="5">
        <v>8698717605</v>
      </c>
      <c r="H8" s="13" t="s">
        <v>146</v>
      </c>
      <c r="I8" s="11" t="s">
        <v>152</v>
      </c>
      <c r="J8" s="4" t="s">
        <v>114</v>
      </c>
      <c r="K8" s="4" t="s">
        <v>115</v>
      </c>
      <c r="L8" s="3"/>
      <c r="M8" s="3"/>
    </row>
    <row r="9" spans="1:13" s="2" customFormat="1">
      <c r="A9" s="3" t="s">
        <v>138</v>
      </c>
      <c r="B9" s="4" t="s">
        <v>220</v>
      </c>
      <c r="C9" s="11" t="s">
        <v>16</v>
      </c>
      <c r="D9" s="4" t="s">
        <v>53</v>
      </c>
      <c r="E9" s="3" t="str">
        <f t="shared" si="0"/>
        <v>Dr ABHINABA GHOSH</v>
      </c>
      <c r="F9" s="5">
        <v>68</v>
      </c>
      <c r="G9" s="5">
        <v>9905013258</v>
      </c>
      <c r="H9" s="13" t="s">
        <v>146</v>
      </c>
      <c r="I9" s="11" t="s">
        <v>152</v>
      </c>
      <c r="J9" s="4" t="s">
        <v>6</v>
      </c>
      <c r="K9" s="4" t="s">
        <v>7</v>
      </c>
      <c r="L9" s="3"/>
      <c r="M9" s="3"/>
    </row>
    <row r="10" spans="1:13" s="2" customFormat="1">
      <c r="A10" s="3" t="s">
        <v>138</v>
      </c>
      <c r="B10" s="4" t="s">
        <v>251</v>
      </c>
      <c r="C10" s="11" t="s">
        <v>4</v>
      </c>
      <c r="D10" s="4" t="s">
        <v>5</v>
      </c>
      <c r="E10" s="3" t="str">
        <f t="shared" si="0"/>
        <v>Ms MONALISA CHOWDHURY</v>
      </c>
      <c r="F10" s="5">
        <v>99</v>
      </c>
      <c r="G10" s="5">
        <v>9475131818</v>
      </c>
      <c r="H10" s="13" t="s">
        <v>146</v>
      </c>
      <c r="I10" s="11" t="s">
        <v>152</v>
      </c>
      <c r="J10" s="4" t="s">
        <v>6</v>
      </c>
      <c r="K10" s="4" t="s">
        <v>7</v>
      </c>
      <c r="L10" s="3"/>
      <c r="M10" s="3"/>
    </row>
    <row r="11" spans="1:13" s="2" customFormat="1">
      <c r="A11" s="3" t="s">
        <v>138</v>
      </c>
      <c r="B11" s="4" t="s">
        <v>174</v>
      </c>
      <c r="C11" s="11" t="s">
        <v>4</v>
      </c>
      <c r="D11" s="4" t="s">
        <v>123</v>
      </c>
      <c r="E11" s="3" t="str">
        <f t="shared" si="0"/>
        <v>Ms AGEEMA REBELO</v>
      </c>
      <c r="F11" s="5">
        <v>22</v>
      </c>
      <c r="G11" s="5">
        <v>9764391361</v>
      </c>
      <c r="H11" s="13" t="s">
        <v>147</v>
      </c>
      <c r="I11" s="11" t="s">
        <v>13</v>
      </c>
      <c r="J11" s="4" t="s">
        <v>14</v>
      </c>
      <c r="K11" s="4" t="s">
        <v>124</v>
      </c>
      <c r="L11" s="3"/>
      <c r="M11" s="3"/>
    </row>
    <row r="12" spans="1:13" s="2" customFormat="1">
      <c r="A12" s="3" t="s">
        <v>138</v>
      </c>
      <c r="B12" s="4" t="s">
        <v>179</v>
      </c>
      <c r="C12" s="11" t="s">
        <v>16</v>
      </c>
      <c r="D12" s="4" t="s">
        <v>111</v>
      </c>
      <c r="E12" s="3" t="str">
        <f t="shared" si="0"/>
        <v>Dr SHAH HARSHAL ANILBHAI</v>
      </c>
      <c r="F12" s="5">
        <v>27</v>
      </c>
      <c r="G12" s="5">
        <v>9870098601</v>
      </c>
      <c r="H12" s="13" t="s">
        <v>147</v>
      </c>
      <c r="I12" s="11" t="s">
        <v>13</v>
      </c>
      <c r="J12" s="4" t="s">
        <v>14</v>
      </c>
      <c r="K12" s="4" t="s">
        <v>112</v>
      </c>
      <c r="L12" s="3"/>
      <c r="M12" s="3"/>
    </row>
    <row r="13" spans="1:13" s="2" customFormat="1">
      <c r="A13" s="3" t="s">
        <v>138</v>
      </c>
      <c r="B13" s="4" t="s">
        <v>183</v>
      </c>
      <c r="C13" s="11" t="s">
        <v>16</v>
      </c>
      <c r="D13" s="4" t="s">
        <v>81</v>
      </c>
      <c r="E13" s="3" t="str">
        <f t="shared" si="0"/>
        <v>Dr DHAVAL MANSUKHLAL NIMAVAT</v>
      </c>
      <c r="F13" s="5">
        <v>31</v>
      </c>
      <c r="G13" s="5">
        <v>9428075424</v>
      </c>
      <c r="H13" s="13" t="s">
        <v>147</v>
      </c>
      <c r="I13" s="11" t="s">
        <v>13</v>
      </c>
      <c r="J13" s="4" t="s">
        <v>14</v>
      </c>
      <c r="K13" s="4" t="s">
        <v>22</v>
      </c>
      <c r="L13" s="3"/>
      <c r="M13" s="3"/>
    </row>
    <row r="14" spans="1:13" s="2" customFormat="1">
      <c r="A14" s="3" t="s">
        <v>138</v>
      </c>
      <c r="B14" s="4" t="s">
        <v>185</v>
      </c>
      <c r="C14" s="11" t="s">
        <v>16</v>
      </c>
      <c r="D14" s="4" t="s">
        <v>17</v>
      </c>
      <c r="E14" s="3" t="str">
        <f t="shared" si="0"/>
        <v>Dr ASHOK BALDEV TEJWANI</v>
      </c>
      <c r="F14" s="5">
        <v>33</v>
      </c>
      <c r="G14" s="5">
        <v>7574924090</v>
      </c>
      <c r="H14" s="13" t="s">
        <v>147</v>
      </c>
      <c r="I14" s="11" t="s">
        <v>13</v>
      </c>
      <c r="J14" s="4" t="s">
        <v>14</v>
      </c>
      <c r="K14" s="4" t="s">
        <v>7</v>
      </c>
      <c r="L14" s="3"/>
      <c r="M14" s="3"/>
    </row>
    <row r="15" spans="1:13" s="2" customFormat="1">
      <c r="A15" s="3" t="s">
        <v>138</v>
      </c>
      <c r="B15" s="4" t="s">
        <v>190</v>
      </c>
      <c r="C15" s="11" t="s">
        <v>4</v>
      </c>
      <c r="D15" s="4" t="s">
        <v>98</v>
      </c>
      <c r="E15" s="3" t="str">
        <f t="shared" si="0"/>
        <v>Ms ABHAYA ATISH CHARI</v>
      </c>
      <c r="F15" s="5">
        <v>38</v>
      </c>
      <c r="G15" s="5">
        <v>8788720365</v>
      </c>
      <c r="H15" s="13" t="s">
        <v>147</v>
      </c>
      <c r="I15" s="11" t="s">
        <v>13</v>
      </c>
      <c r="J15" s="4" t="s">
        <v>14</v>
      </c>
      <c r="K15" s="4" t="s">
        <v>27</v>
      </c>
      <c r="L15" s="3"/>
      <c r="M15" s="3"/>
    </row>
    <row r="16" spans="1:13" s="2" customFormat="1">
      <c r="A16" s="3" t="s">
        <v>138</v>
      </c>
      <c r="B16" s="4" t="s">
        <v>208</v>
      </c>
      <c r="C16" s="11" t="s">
        <v>4</v>
      </c>
      <c r="D16" s="4" t="s">
        <v>99</v>
      </c>
      <c r="E16" s="3" t="str">
        <f t="shared" si="0"/>
        <v>Ms ANUPAMA BISWAS</v>
      </c>
      <c r="F16" s="5">
        <v>56</v>
      </c>
      <c r="G16" s="5">
        <v>9706036464</v>
      </c>
      <c r="H16" s="13" t="s">
        <v>147</v>
      </c>
      <c r="I16" s="11" t="s">
        <v>13</v>
      </c>
      <c r="J16" s="4" t="s">
        <v>14</v>
      </c>
      <c r="K16" s="4" t="s">
        <v>7</v>
      </c>
      <c r="L16" s="3"/>
      <c r="M16" s="3"/>
    </row>
    <row r="17" spans="1:13" s="2" customFormat="1">
      <c r="A17" s="3" t="s">
        <v>138</v>
      </c>
      <c r="B17" s="4" t="s">
        <v>212</v>
      </c>
      <c r="C17" s="11" t="s">
        <v>11</v>
      </c>
      <c r="D17" s="4" t="s">
        <v>95</v>
      </c>
      <c r="E17" s="3" t="str">
        <f t="shared" si="0"/>
        <v>Mr SOMNATH BHATTACHARYA</v>
      </c>
      <c r="F17" s="5">
        <v>60</v>
      </c>
      <c r="G17" s="5">
        <v>9831369635</v>
      </c>
      <c r="H17" s="13" t="s">
        <v>147</v>
      </c>
      <c r="I17" s="11" t="s">
        <v>13</v>
      </c>
      <c r="J17" s="4" t="s">
        <v>14</v>
      </c>
      <c r="K17" s="4" t="s">
        <v>7</v>
      </c>
      <c r="L17" s="3"/>
      <c r="M17" s="3"/>
    </row>
    <row r="18" spans="1:13" s="2" customFormat="1">
      <c r="A18" s="3" t="s">
        <v>138</v>
      </c>
      <c r="B18" s="4" t="s">
        <v>218</v>
      </c>
      <c r="C18" s="11" t="s">
        <v>11</v>
      </c>
      <c r="D18" s="4" t="s">
        <v>72</v>
      </c>
      <c r="E18" s="3" t="str">
        <f t="shared" si="0"/>
        <v>Mr BISHAL KHAWAS</v>
      </c>
      <c r="F18" s="5">
        <v>66</v>
      </c>
      <c r="G18" s="5">
        <v>8140955684</v>
      </c>
      <c r="H18" s="13" t="s">
        <v>147</v>
      </c>
      <c r="I18" s="11" t="s">
        <v>13</v>
      </c>
      <c r="J18" s="4" t="s">
        <v>14</v>
      </c>
      <c r="K18" s="4" t="s">
        <v>27</v>
      </c>
      <c r="L18" s="3"/>
      <c r="M18" s="3"/>
    </row>
    <row r="19" spans="1:13" s="2" customFormat="1">
      <c r="A19" s="3" t="s">
        <v>138</v>
      </c>
      <c r="B19" s="4" t="s">
        <v>231</v>
      </c>
      <c r="C19" s="11" t="s">
        <v>11</v>
      </c>
      <c r="D19" s="4" t="s">
        <v>33</v>
      </c>
      <c r="E19" s="3" t="str">
        <f t="shared" si="0"/>
        <v>Mr APPAJI MOLU SAWANT DESSAI</v>
      </c>
      <c r="F19" s="5">
        <v>79</v>
      </c>
      <c r="G19" s="5">
        <v>9689120953</v>
      </c>
      <c r="H19" s="13" t="s">
        <v>147</v>
      </c>
      <c r="I19" s="11" t="s">
        <v>13</v>
      </c>
      <c r="J19" s="4" t="s">
        <v>14</v>
      </c>
      <c r="K19" s="4" t="s">
        <v>34</v>
      </c>
      <c r="L19" s="3"/>
      <c r="M19" s="3"/>
    </row>
    <row r="20" spans="1:13" s="2" customFormat="1">
      <c r="A20" s="3" t="s">
        <v>138</v>
      </c>
      <c r="B20" s="4" t="s">
        <v>233</v>
      </c>
      <c r="C20" s="11" t="s">
        <v>16</v>
      </c>
      <c r="D20" s="4" t="s">
        <v>21</v>
      </c>
      <c r="E20" s="3" t="str">
        <f t="shared" si="0"/>
        <v>Dr VASUDEVAN K</v>
      </c>
      <c r="F20" s="5">
        <v>81</v>
      </c>
      <c r="G20" s="5">
        <v>9444846675</v>
      </c>
      <c r="H20" s="13" t="s">
        <v>147</v>
      </c>
      <c r="I20" s="11" t="s">
        <v>13</v>
      </c>
      <c r="J20" s="4" t="s">
        <v>14</v>
      </c>
      <c r="K20" s="4" t="s">
        <v>22</v>
      </c>
      <c r="L20" s="3"/>
      <c r="M20" s="3"/>
    </row>
    <row r="21" spans="1:13" s="2" customFormat="1">
      <c r="A21" s="3" t="s">
        <v>138</v>
      </c>
      <c r="B21" s="4" t="s">
        <v>235</v>
      </c>
      <c r="C21" s="11" t="s">
        <v>11</v>
      </c>
      <c r="D21" s="4" t="s">
        <v>63</v>
      </c>
      <c r="E21" s="3" t="str">
        <f t="shared" si="0"/>
        <v>Mr VANDIT PINAKINBHAI ANJARIA</v>
      </c>
      <c r="F21" s="5">
        <v>83</v>
      </c>
      <c r="G21" s="5">
        <v>9978442919</v>
      </c>
      <c r="H21" s="13" t="s">
        <v>147</v>
      </c>
      <c r="I21" s="11" t="s">
        <v>13</v>
      </c>
      <c r="J21" s="4" t="s">
        <v>14</v>
      </c>
      <c r="K21" s="4" t="s">
        <v>64</v>
      </c>
      <c r="L21" s="3"/>
      <c r="M21" s="3"/>
    </row>
    <row r="22" spans="1:13" s="2" customFormat="1">
      <c r="A22" s="3" t="s">
        <v>138</v>
      </c>
      <c r="B22" s="4" t="s">
        <v>236</v>
      </c>
      <c r="C22" s="11" t="s">
        <v>11</v>
      </c>
      <c r="D22" s="4" t="s">
        <v>67</v>
      </c>
      <c r="E22" s="3" t="str">
        <f t="shared" si="0"/>
        <v>Mr YASH KALPESHKUMAR PATEL</v>
      </c>
      <c r="F22" s="5">
        <v>84</v>
      </c>
      <c r="G22" s="5">
        <v>8866861442</v>
      </c>
      <c r="H22" s="13" t="s">
        <v>147</v>
      </c>
      <c r="I22" s="11" t="s">
        <v>13</v>
      </c>
      <c r="J22" s="4" t="s">
        <v>14</v>
      </c>
      <c r="K22" s="4" t="s">
        <v>68</v>
      </c>
      <c r="L22" s="3"/>
      <c r="M22" s="3"/>
    </row>
    <row r="23" spans="1:13">
      <c r="A23" s="3" t="s">
        <v>138</v>
      </c>
      <c r="B23" s="4" t="s">
        <v>237</v>
      </c>
      <c r="C23" s="11" t="s">
        <v>11</v>
      </c>
      <c r="D23" s="4" t="s">
        <v>58</v>
      </c>
      <c r="E23" s="3" t="str">
        <f t="shared" si="0"/>
        <v>Mr NILESH HARISHANKAR YADAV</v>
      </c>
      <c r="F23" s="5">
        <v>85</v>
      </c>
      <c r="G23" s="5">
        <v>6353135055</v>
      </c>
      <c r="H23" s="13" t="s">
        <v>147</v>
      </c>
      <c r="I23" s="11" t="s">
        <v>13</v>
      </c>
      <c r="J23" s="4" t="s">
        <v>14</v>
      </c>
      <c r="K23" s="4" t="s">
        <v>59</v>
      </c>
      <c r="L23" s="3"/>
      <c r="M23" s="3"/>
    </row>
    <row r="24" spans="1:13">
      <c r="A24" s="3" t="s">
        <v>138</v>
      </c>
      <c r="B24" s="4" t="s">
        <v>241</v>
      </c>
      <c r="C24" s="11" t="s">
        <v>11</v>
      </c>
      <c r="D24" s="4" t="s">
        <v>60</v>
      </c>
      <c r="E24" s="3" t="str">
        <f t="shared" si="0"/>
        <v>Mr SANKET S VADNERKAR</v>
      </c>
      <c r="F24" s="5">
        <v>89</v>
      </c>
      <c r="G24" s="5">
        <v>9428424675</v>
      </c>
      <c r="H24" s="13" t="s">
        <v>147</v>
      </c>
      <c r="I24" s="11" t="s">
        <v>13</v>
      </c>
      <c r="J24" s="4" t="s">
        <v>14</v>
      </c>
      <c r="K24" s="4" t="s">
        <v>61</v>
      </c>
      <c r="L24" s="3"/>
      <c r="M24" s="3"/>
    </row>
    <row r="25" spans="1:13">
      <c r="A25" s="3" t="s">
        <v>138</v>
      </c>
      <c r="B25" s="4" t="s">
        <v>252</v>
      </c>
      <c r="C25" s="11" t="s">
        <v>11</v>
      </c>
      <c r="D25" s="4" t="s">
        <v>12</v>
      </c>
      <c r="E25" s="3" t="str">
        <f t="shared" si="0"/>
        <v>Mr ASHOK POUDEL</v>
      </c>
      <c r="F25" s="5">
        <v>100</v>
      </c>
      <c r="G25" s="5">
        <v>8009892588</v>
      </c>
      <c r="H25" s="13" t="s">
        <v>147</v>
      </c>
      <c r="I25" s="11" t="s">
        <v>13</v>
      </c>
      <c r="J25" s="4" t="s">
        <v>14</v>
      </c>
      <c r="K25" s="4" t="s">
        <v>15</v>
      </c>
      <c r="L25" s="3"/>
      <c r="M25" s="3"/>
    </row>
    <row r="26" spans="1:13">
      <c r="A26" s="3" t="s">
        <v>138</v>
      </c>
      <c r="B26" s="4" t="s">
        <v>254</v>
      </c>
      <c r="C26" s="11" t="s">
        <v>4</v>
      </c>
      <c r="D26" s="4" t="s">
        <v>278</v>
      </c>
      <c r="E26" s="3" t="str">
        <f t="shared" si="0"/>
        <v>Ms HARSHA RAJENDRA DESSAI</v>
      </c>
      <c r="F26" s="5">
        <v>102</v>
      </c>
      <c r="G26" s="5">
        <v>9579364849</v>
      </c>
      <c r="H26" s="13" t="s">
        <v>147</v>
      </c>
      <c r="I26" s="11" t="s">
        <v>13</v>
      </c>
      <c r="J26" s="4" t="s">
        <v>14</v>
      </c>
      <c r="K26" s="4" t="s">
        <v>7</v>
      </c>
      <c r="L26" s="3"/>
      <c r="M26" s="3"/>
    </row>
    <row r="27" spans="1:13">
      <c r="A27" s="3" t="s">
        <v>138</v>
      </c>
      <c r="B27" s="4" t="s">
        <v>242</v>
      </c>
      <c r="C27" s="11" t="s">
        <v>23</v>
      </c>
      <c r="D27" s="4" t="s">
        <v>69</v>
      </c>
      <c r="E27" s="3" t="str">
        <f t="shared" si="0"/>
        <v>Mrs KETAL GAUTAM JANI</v>
      </c>
      <c r="F27" s="5">
        <v>90</v>
      </c>
      <c r="G27" s="5">
        <v>9924215700</v>
      </c>
      <c r="H27" s="13" t="s">
        <v>147</v>
      </c>
      <c r="I27" s="11" t="s">
        <v>9</v>
      </c>
      <c r="J27" s="4" t="s">
        <v>10</v>
      </c>
      <c r="K27" s="4" t="s">
        <v>61</v>
      </c>
      <c r="L27" s="3"/>
      <c r="M27" s="3"/>
    </row>
    <row r="28" spans="1:13">
      <c r="A28" s="3" t="s">
        <v>138</v>
      </c>
      <c r="B28" s="4" t="s">
        <v>253</v>
      </c>
      <c r="C28" s="11" t="s">
        <v>4</v>
      </c>
      <c r="D28" s="4" t="s">
        <v>8</v>
      </c>
      <c r="E28" s="3" t="str">
        <f t="shared" si="0"/>
        <v>Ms NAMRATA SINGH</v>
      </c>
      <c r="F28" s="5">
        <v>101</v>
      </c>
      <c r="G28" s="5">
        <v>7046909334</v>
      </c>
      <c r="H28" s="13" t="s">
        <v>147</v>
      </c>
      <c r="I28" s="11" t="s">
        <v>9</v>
      </c>
      <c r="J28" s="4" t="s">
        <v>10</v>
      </c>
      <c r="K28" s="4" t="s">
        <v>7</v>
      </c>
      <c r="L28" s="3"/>
      <c r="M28" s="3"/>
    </row>
    <row r="29" spans="1:13" ht="28.8">
      <c r="A29" s="3" t="s">
        <v>138</v>
      </c>
      <c r="B29" s="4" t="s">
        <v>173</v>
      </c>
      <c r="C29" s="11" t="s">
        <v>11</v>
      </c>
      <c r="D29" s="4" t="s">
        <v>121</v>
      </c>
      <c r="E29" s="3" t="str">
        <f t="shared" si="0"/>
        <v>Mr SUMER SHAILESHA DAUZENCAR</v>
      </c>
      <c r="F29" s="5">
        <v>21</v>
      </c>
      <c r="G29" s="5">
        <v>9359454347</v>
      </c>
      <c r="H29" s="14" t="s">
        <v>148</v>
      </c>
      <c r="I29" s="11" t="s">
        <v>19</v>
      </c>
      <c r="J29" s="4" t="s">
        <v>55</v>
      </c>
      <c r="K29" s="4" t="s">
        <v>124</v>
      </c>
      <c r="L29" s="3"/>
      <c r="M29" s="3"/>
    </row>
    <row r="30" spans="1:13" ht="28.8">
      <c r="A30" s="3" t="s">
        <v>138</v>
      </c>
      <c r="B30" s="4" t="s">
        <v>186</v>
      </c>
      <c r="C30" s="11" t="s">
        <v>16</v>
      </c>
      <c r="D30" s="4" t="s">
        <v>54</v>
      </c>
      <c r="E30" s="3" t="str">
        <f t="shared" si="0"/>
        <v>Dr RINKI SUJITKUMAR MISHRA</v>
      </c>
      <c r="F30" s="5">
        <v>34</v>
      </c>
      <c r="G30" s="5">
        <v>8017529134</v>
      </c>
      <c r="H30" s="14" t="s">
        <v>148</v>
      </c>
      <c r="I30" s="11" t="s">
        <v>19</v>
      </c>
      <c r="J30" s="4" t="s">
        <v>55</v>
      </c>
      <c r="K30" s="4" t="s">
        <v>22</v>
      </c>
      <c r="L30" s="3"/>
      <c r="M30" s="3"/>
    </row>
    <row r="31" spans="1:13">
      <c r="A31" s="3" t="s">
        <v>138</v>
      </c>
      <c r="B31" s="4" t="s">
        <v>202</v>
      </c>
      <c r="C31" s="11" t="s">
        <v>11</v>
      </c>
      <c r="D31" s="4" t="s">
        <v>136</v>
      </c>
      <c r="E31" s="3" t="str">
        <f t="shared" si="0"/>
        <v>Mr TUSHARKUMAR RAJENDRABHAI TRIVEDI</v>
      </c>
      <c r="F31" s="5">
        <v>50</v>
      </c>
      <c r="G31" s="5">
        <v>9428168972</v>
      </c>
      <c r="H31" s="14" t="s">
        <v>148</v>
      </c>
      <c r="I31" s="11" t="s">
        <v>19</v>
      </c>
      <c r="J31" s="4" t="s">
        <v>20</v>
      </c>
      <c r="K31" s="4" t="s">
        <v>42</v>
      </c>
      <c r="L31" s="3"/>
      <c r="M31" s="3"/>
    </row>
    <row r="32" spans="1:13">
      <c r="A32" s="3" t="s">
        <v>138</v>
      </c>
      <c r="B32" s="4" t="s">
        <v>205</v>
      </c>
      <c r="C32" s="11" t="s">
        <v>16</v>
      </c>
      <c r="D32" s="4" t="s">
        <v>78</v>
      </c>
      <c r="E32" s="3" t="str">
        <f t="shared" si="0"/>
        <v>Dr AMAR VIJAY JAMNEKAR</v>
      </c>
      <c r="F32" s="5">
        <v>53</v>
      </c>
      <c r="G32" s="5">
        <v>8087956335</v>
      </c>
      <c r="H32" s="14" t="s">
        <v>148</v>
      </c>
      <c r="I32" s="11" t="s">
        <v>19</v>
      </c>
      <c r="J32" s="4" t="s">
        <v>20</v>
      </c>
      <c r="K32" s="4" t="s">
        <v>7</v>
      </c>
      <c r="L32" s="3"/>
      <c r="M32" s="3"/>
    </row>
    <row r="33" spans="1:13">
      <c r="A33" s="3" t="s">
        <v>138</v>
      </c>
      <c r="B33" s="4" t="s">
        <v>207</v>
      </c>
      <c r="C33" s="11" t="s">
        <v>16</v>
      </c>
      <c r="D33" s="4" t="s">
        <v>89</v>
      </c>
      <c r="E33" s="3" t="str">
        <f t="shared" si="0"/>
        <v>Dr ROHIT MISHRA</v>
      </c>
      <c r="F33" s="5">
        <v>55</v>
      </c>
      <c r="G33" s="5">
        <v>8103238755</v>
      </c>
      <c r="H33" s="14" t="s">
        <v>148</v>
      </c>
      <c r="I33" s="11" t="s">
        <v>19</v>
      </c>
      <c r="J33" s="4" t="s">
        <v>20</v>
      </c>
      <c r="K33" s="4" t="s">
        <v>7</v>
      </c>
      <c r="L33" s="3"/>
      <c r="M33" s="3"/>
    </row>
    <row r="34" spans="1:13">
      <c r="A34" s="3" t="s">
        <v>138</v>
      </c>
      <c r="B34" s="4" t="s">
        <v>211</v>
      </c>
      <c r="C34" s="11" t="s">
        <v>23</v>
      </c>
      <c r="D34" s="4" t="s">
        <v>107</v>
      </c>
      <c r="E34" s="3" t="str">
        <f t="shared" si="0"/>
        <v>Mrs CYNTIA CUSTODIO SIMOES</v>
      </c>
      <c r="F34" s="5">
        <v>59</v>
      </c>
      <c r="G34" s="5">
        <v>7774902447</v>
      </c>
      <c r="H34" s="14" t="s">
        <v>148</v>
      </c>
      <c r="I34" s="11" t="s">
        <v>19</v>
      </c>
      <c r="J34" s="4" t="s">
        <v>20</v>
      </c>
      <c r="K34" s="4" t="s">
        <v>108</v>
      </c>
      <c r="L34" s="3"/>
      <c r="M34" s="3"/>
    </row>
    <row r="35" spans="1:13">
      <c r="A35" s="3" t="s">
        <v>138</v>
      </c>
      <c r="B35" s="4" t="s">
        <v>214</v>
      </c>
      <c r="C35" s="11" t="s">
        <v>11</v>
      </c>
      <c r="D35" s="4" t="s">
        <v>135</v>
      </c>
      <c r="E35" s="3" t="str">
        <f t="shared" si="0"/>
        <v>Mr PRANIL SUNIL NAIK</v>
      </c>
      <c r="F35" s="5">
        <v>62</v>
      </c>
      <c r="G35" s="5">
        <v>9529143543</v>
      </c>
      <c r="H35" s="14" t="s">
        <v>148</v>
      </c>
      <c r="I35" s="11" t="s">
        <v>19</v>
      </c>
      <c r="J35" s="4" t="s">
        <v>20</v>
      </c>
      <c r="K35" s="4" t="s">
        <v>115</v>
      </c>
      <c r="L35" s="3"/>
      <c r="M35" s="3"/>
    </row>
    <row r="36" spans="1:13">
      <c r="A36" s="3" t="s">
        <v>138</v>
      </c>
      <c r="B36" s="4" t="s">
        <v>219</v>
      </c>
      <c r="C36" s="11" t="s">
        <v>11</v>
      </c>
      <c r="D36" s="4" t="s">
        <v>62</v>
      </c>
      <c r="E36" s="3" t="str">
        <f t="shared" ref="E36:E67" si="1">_xlfn.CONCAT(C36," ",D36)</f>
        <v>Mr SATYAJITSINH HARENDRASINH GOHIL</v>
      </c>
      <c r="F36" s="5">
        <v>67</v>
      </c>
      <c r="G36" s="5">
        <v>8141614393</v>
      </c>
      <c r="H36" s="14" t="s">
        <v>148</v>
      </c>
      <c r="I36" s="11" t="s">
        <v>19</v>
      </c>
      <c r="J36" s="4" t="s">
        <v>20</v>
      </c>
      <c r="K36" s="4" t="s">
        <v>7</v>
      </c>
      <c r="L36" s="3"/>
      <c r="M36" s="3"/>
    </row>
    <row r="37" spans="1:13">
      <c r="A37" s="3" t="s">
        <v>138</v>
      </c>
      <c r="B37" s="4" t="s">
        <v>221</v>
      </c>
      <c r="C37" s="11" t="s">
        <v>4</v>
      </c>
      <c r="D37" s="4" t="s">
        <v>49</v>
      </c>
      <c r="E37" s="3" t="str">
        <f t="shared" si="1"/>
        <v>Ms DORITA MASCARENHAS</v>
      </c>
      <c r="F37" s="5">
        <v>69</v>
      </c>
      <c r="G37" s="5">
        <v>7350802386</v>
      </c>
      <c r="H37" s="14" t="s">
        <v>148</v>
      </c>
      <c r="I37" s="11" t="s">
        <v>19</v>
      </c>
      <c r="J37" s="4" t="s">
        <v>20</v>
      </c>
      <c r="K37" s="4" t="s">
        <v>50</v>
      </c>
      <c r="L37" s="3"/>
      <c r="M37" s="3"/>
    </row>
    <row r="38" spans="1:13">
      <c r="A38" s="3" t="s">
        <v>138</v>
      </c>
      <c r="B38" s="4" t="s">
        <v>222</v>
      </c>
      <c r="C38" s="11" t="s">
        <v>11</v>
      </c>
      <c r="D38" s="4" t="s">
        <v>41</v>
      </c>
      <c r="E38" s="3" t="str">
        <f t="shared" si="1"/>
        <v>Mr VITHAL PANDURANG SATARKAR</v>
      </c>
      <c r="F38" s="5">
        <v>70</v>
      </c>
      <c r="G38" s="5">
        <v>9404528029</v>
      </c>
      <c r="H38" s="14" t="s">
        <v>148</v>
      </c>
      <c r="I38" s="11" t="s">
        <v>19</v>
      </c>
      <c r="J38" s="4" t="s">
        <v>20</v>
      </c>
      <c r="K38" s="4" t="s">
        <v>42</v>
      </c>
      <c r="L38" s="3"/>
      <c r="M38" s="3"/>
    </row>
    <row r="39" spans="1:13">
      <c r="A39" s="3" t="s">
        <v>138</v>
      </c>
      <c r="B39" s="4" t="s">
        <v>223</v>
      </c>
      <c r="C39" s="11" t="s">
        <v>23</v>
      </c>
      <c r="D39" s="4" t="s">
        <v>46</v>
      </c>
      <c r="E39" s="3" t="str">
        <f t="shared" si="1"/>
        <v>Mrs BRIJILA SIMOES</v>
      </c>
      <c r="F39" s="5">
        <v>71</v>
      </c>
      <c r="G39" s="5">
        <v>8669115805</v>
      </c>
      <c r="H39" s="14" t="s">
        <v>148</v>
      </c>
      <c r="I39" s="11" t="s">
        <v>19</v>
      </c>
      <c r="J39" s="4" t="s">
        <v>20</v>
      </c>
      <c r="K39" s="4" t="s">
        <v>34</v>
      </c>
      <c r="L39" s="3"/>
      <c r="M39" s="3"/>
    </row>
    <row r="40" spans="1:13">
      <c r="A40" s="3" t="s">
        <v>138</v>
      </c>
      <c r="B40" s="4" t="s">
        <v>225</v>
      </c>
      <c r="C40" s="11" t="s">
        <v>4</v>
      </c>
      <c r="D40" s="4" t="s">
        <v>52</v>
      </c>
      <c r="E40" s="3" t="str">
        <f t="shared" si="1"/>
        <v>Ms SONALY BABI JOSHI</v>
      </c>
      <c r="F40" s="5">
        <v>73</v>
      </c>
      <c r="G40" s="5">
        <v>8378041008</v>
      </c>
      <c r="H40" s="14" t="s">
        <v>148</v>
      </c>
      <c r="I40" s="11" t="s">
        <v>19</v>
      </c>
      <c r="J40" s="4" t="s">
        <v>20</v>
      </c>
      <c r="K40" s="4" t="s">
        <v>34</v>
      </c>
      <c r="L40" s="3"/>
      <c r="M40" s="3"/>
    </row>
    <row r="41" spans="1:13">
      <c r="A41" s="3" t="s">
        <v>138</v>
      </c>
      <c r="B41" s="4" t="s">
        <v>227</v>
      </c>
      <c r="C41" s="11" t="s">
        <v>23</v>
      </c>
      <c r="D41" s="4" t="s">
        <v>47</v>
      </c>
      <c r="E41" s="3" t="str">
        <f t="shared" si="1"/>
        <v>Mrs NIQUELINA MARTINS</v>
      </c>
      <c r="F41" s="5">
        <v>75</v>
      </c>
      <c r="G41" s="5">
        <v>8308170605</v>
      </c>
      <c r="H41" s="14" t="s">
        <v>148</v>
      </c>
      <c r="I41" s="11" t="s">
        <v>19</v>
      </c>
      <c r="J41" s="4" t="s">
        <v>20</v>
      </c>
      <c r="K41" s="4" t="s">
        <v>48</v>
      </c>
      <c r="L41" s="3"/>
      <c r="M41" s="3"/>
    </row>
    <row r="42" spans="1:13">
      <c r="A42" s="3" t="s">
        <v>138</v>
      </c>
      <c r="B42" s="4" t="s">
        <v>230</v>
      </c>
      <c r="C42" s="11" t="s">
        <v>23</v>
      </c>
      <c r="D42" s="4" t="s">
        <v>43</v>
      </c>
      <c r="E42" s="3" t="str">
        <f t="shared" si="1"/>
        <v>Mrs DURVA DHARMU PAGI</v>
      </c>
      <c r="F42" s="5">
        <v>78</v>
      </c>
      <c r="G42" s="5">
        <v>9923261107</v>
      </c>
      <c r="H42" s="14" t="s">
        <v>148</v>
      </c>
      <c r="I42" s="11" t="s">
        <v>19</v>
      </c>
      <c r="J42" s="4" t="s">
        <v>20</v>
      </c>
      <c r="K42" s="4" t="s">
        <v>40</v>
      </c>
      <c r="L42" s="3"/>
      <c r="M42" s="3"/>
    </row>
    <row r="43" spans="1:13">
      <c r="A43" s="3" t="s">
        <v>138</v>
      </c>
      <c r="B43" s="4" t="s">
        <v>234</v>
      </c>
      <c r="C43" s="11" t="s">
        <v>11</v>
      </c>
      <c r="D43" s="4" t="s">
        <v>35</v>
      </c>
      <c r="E43" s="3" t="str">
        <f t="shared" si="1"/>
        <v>Mr MARK SHANE FERNANDES</v>
      </c>
      <c r="F43" s="5">
        <v>82</v>
      </c>
      <c r="G43" s="5">
        <v>9284692571</v>
      </c>
      <c r="H43" s="14" t="s">
        <v>148</v>
      </c>
      <c r="I43" s="11" t="s">
        <v>19</v>
      </c>
      <c r="J43" s="4" t="s">
        <v>20</v>
      </c>
      <c r="K43" s="4" t="s">
        <v>36</v>
      </c>
      <c r="L43" s="3"/>
      <c r="M43" s="3"/>
    </row>
    <row r="44" spans="1:13">
      <c r="A44" s="3" t="s">
        <v>138</v>
      </c>
      <c r="B44" s="4" t="s">
        <v>238</v>
      </c>
      <c r="C44" s="11" t="s">
        <v>11</v>
      </c>
      <c r="D44" s="4" t="s">
        <v>56</v>
      </c>
      <c r="E44" s="3" t="str">
        <f t="shared" si="1"/>
        <v>Mr AVASAR MARU</v>
      </c>
      <c r="F44" s="5">
        <v>86</v>
      </c>
      <c r="G44" s="5">
        <v>6358146605</v>
      </c>
      <c r="H44" s="14" t="s">
        <v>148</v>
      </c>
      <c r="I44" s="11" t="s">
        <v>19</v>
      </c>
      <c r="J44" s="4" t="s">
        <v>20</v>
      </c>
      <c r="K44" s="4" t="s">
        <v>57</v>
      </c>
      <c r="L44" s="3"/>
      <c r="M44" s="3"/>
    </row>
    <row r="45" spans="1:13">
      <c r="A45" s="3" t="s">
        <v>138</v>
      </c>
      <c r="B45" s="4" t="s">
        <v>239</v>
      </c>
      <c r="C45" s="11" t="s">
        <v>23</v>
      </c>
      <c r="D45" s="4" t="s">
        <v>70</v>
      </c>
      <c r="E45" s="3" t="str">
        <f t="shared" si="1"/>
        <v>Mrs RIDDHI GHANSHYAM KAPOPARA</v>
      </c>
      <c r="F45" s="5">
        <v>87</v>
      </c>
      <c r="G45" s="5">
        <v>6353368052</v>
      </c>
      <c r="H45" s="14" t="s">
        <v>148</v>
      </c>
      <c r="I45" s="11" t="s">
        <v>19</v>
      </c>
      <c r="J45" s="4" t="s">
        <v>20</v>
      </c>
      <c r="K45" s="4" t="s">
        <v>57</v>
      </c>
      <c r="L45" s="3"/>
      <c r="M45" s="3"/>
    </row>
    <row r="46" spans="1:13">
      <c r="A46" s="3" t="s">
        <v>138</v>
      </c>
      <c r="B46" s="4" t="s">
        <v>243</v>
      </c>
      <c r="C46" s="11" t="s">
        <v>4</v>
      </c>
      <c r="D46" s="4" t="s">
        <v>71</v>
      </c>
      <c r="E46" s="3" t="str">
        <f t="shared" si="1"/>
        <v>Ms PANARA NENSI</v>
      </c>
      <c r="F46" s="5">
        <v>91</v>
      </c>
      <c r="G46" s="5">
        <v>9558179025</v>
      </c>
      <c r="H46" s="14" t="s">
        <v>148</v>
      </c>
      <c r="I46" s="11" t="s">
        <v>19</v>
      </c>
      <c r="J46" s="4" t="s">
        <v>20</v>
      </c>
      <c r="K46" s="4" t="s">
        <v>61</v>
      </c>
      <c r="L46" s="3"/>
      <c r="M46" s="3"/>
    </row>
    <row r="47" spans="1:13">
      <c r="A47" s="3" t="s">
        <v>138</v>
      </c>
      <c r="B47" s="4" t="s">
        <v>247</v>
      </c>
      <c r="C47" s="11" t="s">
        <v>16</v>
      </c>
      <c r="D47" s="4" t="s">
        <v>18</v>
      </c>
      <c r="E47" s="3" t="str">
        <f t="shared" si="1"/>
        <v>Dr B G POORNIMA</v>
      </c>
      <c r="F47" s="5">
        <v>95</v>
      </c>
      <c r="G47" s="5">
        <v>9561777036</v>
      </c>
      <c r="H47" s="14" t="s">
        <v>148</v>
      </c>
      <c r="I47" s="11" t="s">
        <v>19</v>
      </c>
      <c r="J47" s="4" t="s">
        <v>20</v>
      </c>
      <c r="K47" s="4" t="s">
        <v>7</v>
      </c>
      <c r="L47" s="3"/>
      <c r="M47" s="3"/>
    </row>
    <row r="48" spans="1:13">
      <c r="A48" s="3" t="s">
        <v>138</v>
      </c>
      <c r="B48" s="4" t="s">
        <v>177</v>
      </c>
      <c r="C48" s="11" t="s">
        <v>23</v>
      </c>
      <c r="D48" s="4" t="s">
        <v>122</v>
      </c>
      <c r="E48" s="3" t="str">
        <f t="shared" si="1"/>
        <v>Mrs SAVITA MASURKAR</v>
      </c>
      <c r="F48" s="5">
        <v>25</v>
      </c>
      <c r="G48" s="5">
        <v>7875181128</v>
      </c>
      <c r="H48" s="13" t="s">
        <v>149</v>
      </c>
      <c r="I48" s="11" t="s">
        <v>30</v>
      </c>
      <c r="J48" s="4" t="s">
        <v>31</v>
      </c>
      <c r="K48" s="4" t="s">
        <v>42</v>
      </c>
      <c r="L48" s="3"/>
      <c r="M48" s="3"/>
    </row>
    <row r="49" spans="1:13">
      <c r="A49" s="3" t="s">
        <v>138</v>
      </c>
      <c r="B49" s="4" t="s">
        <v>182</v>
      </c>
      <c r="C49" s="11" t="s">
        <v>23</v>
      </c>
      <c r="D49" s="4" t="s">
        <v>96</v>
      </c>
      <c r="E49" s="3" t="str">
        <f t="shared" si="1"/>
        <v>Mrs BETTY OOMMEN KOSHY</v>
      </c>
      <c r="F49" s="5">
        <v>30</v>
      </c>
      <c r="G49" s="5">
        <v>8758263447</v>
      </c>
      <c r="H49" s="13" t="s">
        <v>149</v>
      </c>
      <c r="I49" s="11" t="s">
        <v>30</v>
      </c>
      <c r="J49" s="4" t="s">
        <v>31</v>
      </c>
      <c r="K49" s="4" t="s">
        <v>7</v>
      </c>
      <c r="L49" s="3"/>
      <c r="M49" s="3"/>
    </row>
    <row r="50" spans="1:13">
      <c r="A50" s="3" t="s">
        <v>138</v>
      </c>
      <c r="B50" s="4" t="s">
        <v>191</v>
      </c>
      <c r="C50" s="11" t="s">
        <v>4</v>
      </c>
      <c r="D50" s="4" t="s">
        <v>104</v>
      </c>
      <c r="E50" s="3" t="str">
        <f t="shared" si="1"/>
        <v>Ms SHIRLEY LISA FERNANDES</v>
      </c>
      <c r="F50" s="5">
        <v>39</v>
      </c>
      <c r="G50" s="5">
        <v>7218126049</v>
      </c>
      <c r="H50" s="13" t="s">
        <v>149</v>
      </c>
      <c r="I50" s="11" t="s">
        <v>30</v>
      </c>
      <c r="J50" s="4" t="s">
        <v>31</v>
      </c>
      <c r="K50" s="4" t="s">
        <v>61</v>
      </c>
      <c r="L50" s="3"/>
      <c r="M50" s="3"/>
    </row>
    <row r="51" spans="1:13">
      <c r="A51" s="3" t="s">
        <v>138</v>
      </c>
      <c r="B51" s="4" t="s">
        <v>193</v>
      </c>
      <c r="C51" s="11" t="s">
        <v>4</v>
      </c>
      <c r="D51" s="4" t="s">
        <v>103</v>
      </c>
      <c r="E51" s="3" t="str">
        <f t="shared" si="1"/>
        <v>Ms RACHANA SHYAM FAL DESSAI</v>
      </c>
      <c r="F51" s="5">
        <v>41</v>
      </c>
      <c r="G51" s="5">
        <v>8767144937</v>
      </c>
      <c r="H51" s="13" t="s">
        <v>149</v>
      </c>
      <c r="I51" s="11" t="s">
        <v>30</v>
      </c>
      <c r="J51" s="4" t="s">
        <v>31</v>
      </c>
      <c r="K51" s="4" t="s">
        <v>32</v>
      </c>
      <c r="L51" s="3"/>
      <c r="M51" s="3"/>
    </row>
    <row r="52" spans="1:13">
      <c r="A52" s="3" t="s">
        <v>138</v>
      </c>
      <c r="B52" s="4" t="s">
        <v>196</v>
      </c>
      <c r="C52" s="11" t="s">
        <v>16</v>
      </c>
      <c r="D52" s="4" t="s">
        <v>82</v>
      </c>
      <c r="E52" s="3" t="str">
        <f t="shared" si="1"/>
        <v>Dr K. JEYALAKSHMI</v>
      </c>
      <c r="F52" s="5">
        <v>44</v>
      </c>
      <c r="G52" s="5">
        <v>9886922100</v>
      </c>
      <c r="H52" s="13" t="s">
        <v>149</v>
      </c>
      <c r="I52" s="11" t="s">
        <v>30</v>
      </c>
      <c r="J52" s="4" t="s">
        <v>31</v>
      </c>
      <c r="K52" s="4" t="s">
        <v>83</v>
      </c>
      <c r="L52" s="3"/>
      <c r="M52" s="3"/>
    </row>
    <row r="53" spans="1:13">
      <c r="A53" s="3" t="s">
        <v>138</v>
      </c>
      <c r="B53" s="4" t="s">
        <v>206</v>
      </c>
      <c r="C53" s="11" t="s">
        <v>23</v>
      </c>
      <c r="D53" s="4" t="s">
        <v>97</v>
      </c>
      <c r="E53" s="3" t="str">
        <f t="shared" si="1"/>
        <v>Mrs CHINNAM SUPRIYA</v>
      </c>
      <c r="F53" s="5">
        <v>54</v>
      </c>
      <c r="G53" s="5">
        <v>6301703993</v>
      </c>
      <c r="H53" s="13" t="s">
        <v>149</v>
      </c>
      <c r="I53" s="11" t="s">
        <v>30</v>
      </c>
      <c r="J53" s="4" t="s">
        <v>31</v>
      </c>
      <c r="K53" s="4" t="s">
        <v>22</v>
      </c>
      <c r="L53" s="3"/>
      <c r="M53" s="3"/>
    </row>
    <row r="54" spans="1:13">
      <c r="A54" s="3" t="s">
        <v>138</v>
      </c>
      <c r="B54" s="4" t="s">
        <v>209</v>
      </c>
      <c r="C54" s="11" t="s">
        <v>4</v>
      </c>
      <c r="D54" s="4" t="s">
        <v>76</v>
      </c>
      <c r="E54" s="3" t="str">
        <f t="shared" si="1"/>
        <v>Ms SANJANA ULLAS TALEKAR</v>
      </c>
      <c r="F54" s="5">
        <v>57</v>
      </c>
      <c r="G54" s="5">
        <v>7066254603</v>
      </c>
      <c r="H54" s="13" t="s">
        <v>149</v>
      </c>
      <c r="I54" s="11" t="s">
        <v>30</v>
      </c>
      <c r="J54" s="4" t="s">
        <v>31</v>
      </c>
      <c r="K54" s="4" t="s">
        <v>77</v>
      </c>
      <c r="L54" s="3"/>
      <c r="M54" s="3"/>
    </row>
    <row r="55" spans="1:13">
      <c r="A55" s="3" t="s">
        <v>138</v>
      </c>
      <c r="B55" s="4" t="s">
        <v>226</v>
      </c>
      <c r="C55" s="11" t="s">
        <v>23</v>
      </c>
      <c r="D55" s="4" t="s">
        <v>45</v>
      </c>
      <c r="E55" s="3" t="str">
        <f t="shared" si="1"/>
        <v>Mrs BABITA PAGI</v>
      </c>
      <c r="F55" s="5">
        <v>74</v>
      </c>
      <c r="G55" s="5">
        <v>9607806914</v>
      </c>
      <c r="H55" s="13" t="s">
        <v>149</v>
      </c>
      <c r="I55" s="11" t="s">
        <v>30</v>
      </c>
      <c r="J55" s="4" t="s">
        <v>31</v>
      </c>
      <c r="K55" s="4" t="s">
        <v>34</v>
      </c>
      <c r="L55" s="3"/>
      <c r="M55" s="3"/>
    </row>
    <row r="56" spans="1:13">
      <c r="A56" s="3" t="s">
        <v>138</v>
      </c>
      <c r="B56" s="4" t="s">
        <v>244</v>
      </c>
      <c r="C56" s="11" t="s">
        <v>4</v>
      </c>
      <c r="D56" s="4" t="s">
        <v>29</v>
      </c>
      <c r="E56" s="3" t="str">
        <f t="shared" si="1"/>
        <v>Ms SWIZEL FERNANDES</v>
      </c>
      <c r="F56" s="5">
        <v>92</v>
      </c>
      <c r="G56" s="5">
        <v>7620026751</v>
      </c>
      <c r="H56" s="13" t="s">
        <v>149</v>
      </c>
      <c r="I56" s="11" t="s">
        <v>30</v>
      </c>
      <c r="J56" s="4" t="s">
        <v>31</v>
      </c>
      <c r="K56" s="4" t="s">
        <v>32</v>
      </c>
      <c r="L56" s="3"/>
      <c r="M56" s="3"/>
    </row>
    <row r="57" spans="1:13">
      <c r="A57" s="3" t="s">
        <v>138</v>
      </c>
      <c r="B57" s="4" t="s">
        <v>250</v>
      </c>
      <c r="C57" s="11" t="s">
        <v>4</v>
      </c>
      <c r="D57" s="4" t="s">
        <v>277</v>
      </c>
      <c r="E57" s="3" t="str">
        <f t="shared" si="1"/>
        <v>Ms PRANALI PREMANAND SHETKAR</v>
      </c>
      <c r="F57" s="5">
        <v>98</v>
      </c>
      <c r="G57" s="5">
        <v>8668207303</v>
      </c>
      <c r="H57" s="13" t="s">
        <v>149</v>
      </c>
      <c r="I57" s="11" t="s">
        <v>30</v>
      </c>
      <c r="J57" s="4" t="s">
        <v>31</v>
      </c>
      <c r="K57" s="4" t="s">
        <v>77</v>
      </c>
      <c r="L57" s="3"/>
      <c r="M57" s="3"/>
    </row>
    <row r="58" spans="1:13">
      <c r="A58" s="3" t="s">
        <v>138</v>
      </c>
      <c r="B58" s="4" t="s">
        <v>175</v>
      </c>
      <c r="C58" s="11" t="s">
        <v>4</v>
      </c>
      <c r="D58" s="4" t="s">
        <v>125</v>
      </c>
      <c r="E58" s="3" t="str">
        <f t="shared" si="1"/>
        <v>Ms SEEMA SHRIKANT GUNAGI</v>
      </c>
      <c r="F58" s="5">
        <v>23</v>
      </c>
      <c r="G58" s="5">
        <v>9021628314</v>
      </c>
      <c r="H58" s="14" t="s">
        <v>150</v>
      </c>
      <c r="I58" s="11" t="s">
        <v>25</v>
      </c>
      <c r="J58" s="4" t="s">
        <v>26</v>
      </c>
      <c r="K58" s="4" t="s">
        <v>126</v>
      </c>
      <c r="L58" s="3"/>
      <c r="M58" s="3"/>
    </row>
    <row r="59" spans="1:13">
      <c r="A59" s="3" t="s">
        <v>138</v>
      </c>
      <c r="B59" s="4" t="s">
        <v>176</v>
      </c>
      <c r="C59" s="11" t="s">
        <v>11</v>
      </c>
      <c r="D59" s="4" t="s">
        <v>119</v>
      </c>
      <c r="E59" s="3" t="str">
        <f t="shared" si="1"/>
        <v>Mr BRIJESH FAL DESAI</v>
      </c>
      <c r="F59" s="5">
        <v>24</v>
      </c>
      <c r="G59" s="5">
        <v>7262924607</v>
      </c>
      <c r="H59" s="14" t="s">
        <v>150</v>
      </c>
      <c r="I59" s="11" t="s">
        <v>25</v>
      </c>
      <c r="J59" s="4" t="s">
        <v>26</v>
      </c>
      <c r="K59" s="4" t="s">
        <v>120</v>
      </c>
      <c r="L59" s="3"/>
      <c r="M59" s="3"/>
    </row>
    <row r="60" spans="1:13">
      <c r="A60" s="3" t="s">
        <v>138</v>
      </c>
      <c r="B60" s="4" t="s">
        <v>180</v>
      </c>
      <c r="C60" s="11" t="s">
        <v>11</v>
      </c>
      <c r="D60" s="4" t="s">
        <v>93</v>
      </c>
      <c r="E60" s="3" t="str">
        <f t="shared" si="1"/>
        <v>Mr MEET SHAH</v>
      </c>
      <c r="F60" s="5">
        <v>28</v>
      </c>
      <c r="G60" s="5">
        <v>7046929826</v>
      </c>
      <c r="H60" s="14" t="s">
        <v>150</v>
      </c>
      <c r="I60" s="11" t="s">
        <v>25</v>
      </c>
      <c r="J60" s="4" t="s">
        <v>26</v>
      </c>
      <c r="K60" s="4" t="s">
        <v>94</v>
      </c>
      <c r="L60" s="3"/>
      <c r="M60" s="3"/>
    </row>
    <row r="61" spans="1:13">
      <c r="A61" s="3" t="s">
        <v>138</v>
      </c>
      <c r="B61" s="4" t="s">
        <v>184</v>
      </c>
      <c r="C61" s="11" t="s">
        <v>16</v>
      </c>
      <c r="D61" s="4" t="s">
        <v>84</v>
      </c>
      <c r="E61" s="3" t="str">
        <f t="shared" si="1"/>
        <v>Dr LALIT LATA JHA</v>
      </c>
      <c r="F61" s="5">
        <v>32</v>
      </c>
      <c r="G61" s="5">
        <v>9825092319</v>
      </c>
      <c r="H61" s="14" t="s">
        <v>150</v>
      </c>
      <c r="I61" s="11" t="s">
        <v>25</v>
      </c>
      <c r="J61" s="4" t="s">
        <v>26</v>
      </c>
      <c r="K61" s="4" t="s">
        <v>85</v>
      </c>
      <c r="L61" s="3"/>
      <c r="M61" s="3"/>
    </row>
    <row r="62" spans="1:13">
      <c r="A62" s="3" t="s">
        <v>138</v>
      </c>
      <c r="B62" s="4" t="s">
        <v>187</v>
      </c>
      <c r="C62" s="11" t="s">
        <v>11</v>
      </c>
      <c r="D62" s="4" t="s">
        <v>127</v>
      </c>
      <c r="E62" s="3" t="str">
        <f t="shared" si="1"/>
        <v>Mr AJAY PRAKASH YADAV</v>
      </c>
      <c r="F62" s="5">
        <v>35</v>
      </c>
      <c r="G62" s="5">
        <v>9049929389</v>
      </c>
      <c r="H62" s="14" t="s">
        <v>150</v>
      </c>
      <c r="I62" s="11" t="s">
        <v>25</v>
      </c>
      <c r="J62" s="4" t="s">
        <v>26</v>
      </c>
      <c r="K62" s="4" t="s">
        <v>94</v>
      </c>
      <c r="L62" s="3"/>
      <c r="M62" s="3"/>
    </row>
    <row r="63" spans="1:13">
      <c r="A63" s="3" t="s">
        <v>138</v>
      </c>
      <c r="B63" s="4" t="s">
        <v>188</v>
      </c>
      <c r="C63" s="11" t="s">
        <v>4</v>
      </c>
      <c r="D63" s="4" t="s">
        <v>100</v>
      </c>
      <c r="E63" s="3" t="str">
        <f t="shared" si="1"/>
        <v>Ms DEEPTI ARUN MOHITE</v>
      </c>
      <c r="F63" s="5">
        <v>36</v>
      </c>
      <c r="G63" s="5">
        <v>7666750734</v>
      </c>
      <c r="H63" s="14" t="s">
        <v>150</v>
      </c>
      <c r="I63" s="11" t="s">
        <v>25</v>
      </c>
      <c r="J63" s="4" t="s">
        <v>26</v>
      </c>
      <c r="K63" s="4" t="s">
        <v>27</v>
      </c>
      <c r="L63" s="3"/>
      <c r="M63" s="3"/>
    </row>
    <row r="64" spans="1:13">
      <c r="A64" s="3" t="s">
        <v>138</v>
      </c>
      <c r="B64" s="4" t="s">
        <v>189</v>
      </c>
      <c r="C64" s="11" t="s">
        <v>4</v>
      </c>
      <c r="D64" s="4" t="s">
        <v>106</v>
      </c>
      <c r="E64" s="3" t="str">
        <f t="shared" si="1"/>
        <v>Ms VAISHNAVI VILAS GAONKAR</v>
      </c>
      <c r="F64" s="5">
        <v>37</v>
      </c>
      <c r="G64" s="5">
        <v>7083141761</v>
      </c>
      <c r="H64" s="14" t="s">
        <v>150</v>
      </c>
      <c r="I64" s="11" t="s">
        <v>25</v>
      </c>
      <c r="J64" s="4" t="s">
        <v>26</v>
      </c>
      <c r="K64" s="4" t="s">
        <v>27</v>
      </c>
      <c r="L64" s="3"/>
      <c r="M64" s="3"/>
    </row>
    <row r="65" spans="1:13">
      <c r="A65" s="3" t="s">
        <v>138</v>
      </c>
      <c r="B65" s="4" t="s">
        <v>194</v>
      </c>
      <c r="C65" s="11" t="s">
        <v>11</v>
      </c>
      <c r="D65" s="4" t="s">
        <v>91</v>
      </c>
      <c r="E65" s="3" t="str">
        <f t="shared" si="1"/>
        <v>Mr DAMODAR SILVARAJ GOUNDAR</v>
      </c>
      <c r="F65" s="5">
        <v>42</v>
      </c>
      <c r="G65" s="5">
        <v>8788346744</v>
      </c>
      <c r="H65" s="14" t="s">
        <v>150</v>
      </c>
      <c r="I65" s="11" t="s">
        <v>25</v>
      </c>
      <c r="J65" s="4" t="s">
        <v>26</v>
      </c>
      <c r="K65" s="4" t="s">
        <v>7</v>
      </c>
      <c r="L65" s="3"/>
      <c r="M65" s="3"/>
    </row>
    <row r="66" spans="1:13">
      <c r="A66" s="3" t="s">
        <v>138</v>
      </c>
      <c r="B66" s="4" t="s">
        <v>195</v>
      </c>
      <c r="C66" s="11" t="s">
        <v>16</v>
      </c>
      <c r="D66" s="4" t="s">
        <v>88</v>
      </c>
      <c r="E66" s="3" t="str">
        <f t="shared" si="1"/>
        <v>Dr PRABHAT BABAJI DESSAI</v>
      </c>
      <c r="F66" s="5">
        <v>43</v>
      </c>
      <c r="G66" s="5">
        <v>9890259644</v>
      </c>
      <c r="H66" s="14" t="s">
        <v>150</v>
      </c>
      <c r="I66" s="11" t="s">
        <v>25</v>
      </c>
      <c r="J66" s="4" t="s">
        <v>26</v>
      </c>
      <c r="K66" s="4" t="s">
        <v>22</v>
      </c>
      <c r="L66" s="3"/>
      <c r="M66" s="3"/>
    </row>
    <row r="67" spans="1:13">
      <c r="A67" s="3" t="s">
        <v>138</v>
      </c>
      <c r="B67" s="4" t="s">
        <v>198</v>
      </c>
      <c r="C67" s="11" t="s">
        <v>4</v>
      </c>
      <c r="D67" s="4" t="s">
        <v>105</v>
      </c>
      <c r="E67" s="3" t="str">
        <f t="shared" si="1"/>
        <v>Ms SHRADHA UMESH NAIK</v>
      </c>
      <c r="F67" s="5">
        <v>46</v>
      </c>
      <c r="G67" s="5">
        <v>9673067645</v>
      </c>
      <c r="H67" s="14" t="s">
        <v>150</v>
      </c>
      <c r="I67" s="11" t="s">
        <v>25</v>
      </c>
      <c r="J67" s="4" t="s">
        <v>26</v>
      </c>
      <c r="K67" s="4" t="s">
        <v>7</v>
      </c>
      <c r="L67" s="3"/>
      <c r="M67" s="3"/>
    </row>
    <row r="68" spans="1:13">
      <c r="A68" s="3" t="s">
        <v>138</v>
      </c>
      <c r="B68" s="4" t="s">
        <v>199</v>
      </c>
      <c r="C68" s="11" t="s">
        <v>16</v>
      </c>
      <c r="D68" s="4" t="s">
        <v>90</v>
      </c>
      <c r="E68" s="3" t="str">
        <f t="shared" ref="E68:E99" si="2">_xlfn.CONCAT(C68," ",D68)</f>
        <v>Dr SANJEETA TEJAS RANE SARDESSAI</v>
      </c>
      <c r="F68" s="5">
        <v>47</v>
      </c>
      <c r="G68" s="5">
        <v>8380895505</v>
      </c>
      <c r="H68" s="14" t="s">
        <v>150</v>
      </c>
      <c r="I68" s="11" t="s">
        <v>25</v>
      </c>
      <c r="J68" s="4" t="s">
        <v>26</v>
      </c>
      <c r="K68" s="4" t="s">
        <v>7</v>
      </c>
      <c r="L68" s="3"/>
      <c r="M68" s="3"/>
    </row>
    <row r="69" spans="1:13">
      <c r="A69" s="3" t="s">
        <v>138</v>
      </c>
      <c r="B69" s="4" t="s">
        <v>210</v>
      </c>
      <c r="C69" s="11" t="s">
        <v>23</v>
      </c>
      <c r="D69" s="4" t="s">
        <v>110</v>
      </c>
      <c r="E69" s="3" t="str">
        <f t="shared" si="2"/>
        <v>Mrs WILMA FERNANDES</v>
      </c>
      <c r="F69" s="5">
        <v>58</v>
      </c>
      <c r="G69" s="5">
        <v>9623910351</v>
      </c>
      <c r="H69" s="14" t="s">
        <v>150</v>
      </c>
      <c r="I69" s="11" t="s">
        <v>25</v>
      </c>
      <c r="J69" s="4" t="s">
        <v>26</v>
      </c>
      <c r="K69" s="4" t="s">
        <v>48</v>
      </c>
      <c r="L69" s="3"/>
      <c r="M69" s="3"/>
    </row>
    <row r="70" spans="1:13">
      <c r="A70" s="3" t="s">
        <v>138</v>
      </c>
      <c r="B70" s="4" t="s">
        <v>215</v>
      </c>
      <c r="C70" s="11" t="s">
        <v>23</v>
      </c>
      <c r="D70" s="4" t="s">
        <v>109</v>
      </c>
      <c r="E70" s="3" t="str">
        <f t="shared" si="2"/>
        <v>Mrs FELCY SIMOES</v>
      </c>
      <c r="F70" s="5">
        <v>63</v>
      </c>
      <c r="G70" s="5">
        <v>9881696219</v>
      </c>
      <c r="H70" s="14" t="s">
        <v>150</v>
      </c>
      <c r="I70" s="11" t="s">
        <v>25</v>
      </c>
      <c r="J70" s="4" t="s">
        <v>26</v>
      </c>
      <c r="K70" s="4" t="s">
        <v>108</v>
      </c>
      <c r="L70" s="3"/>
      <c r="M70" s="3"/>
    </row>
    <row r="71" spans="1:13">
      <c r="A71" s="3" t="s">
        <v>138</v>
      </c>
      <c r="B71" s="4" t="s">
        <v>216</v>
      </c>
      <c r="C71" s="11" t="s">
        <v>11</v>
      </c>
      <c r="D71" s="4" t="s">
        <v>116</v>
      </c>
      <c r="E71" s="3" t="str">
        <f t="shared" si="2"/>
        <v>Mr KARIM KHAN</v>
      </c>
      <c r="F71" s="5">
        <v>64</v>
      </c>
      <c r="G71" s="5">
        <v>9359570512</v>
      </c>
      <c r="H71" s="14" t="s">
        <v>150</v>
      </c>
      <c r="I71" s="11" t="s">
        <v>25</v>
      </c>
      <c r="J71" s="4" t="s">
        <v>26</v>
      </c>
      <c r="K71" s="4" t="s">
        <v>50</v>
      </c>
      <c r="L71" s="3"/>
      <c r="M71" s="3"/>
    </row>
    <row r="72" spans="1:13">
      <c r="A72" s="3" t="s">
        <v>138</v>
      </c>
      <c r="B72" s="4" t="s">
        <v>224</v>
      </c>
      <c r="C72" s="11" t="s">
        <v>4</v>
      </c>
      <c r="D72" s="4" t="s">
        <v>51</v>
      </c>
      <c r="E72" s="3" t="str">
        <f t="shared" si="2"/>
        <v>Ms INISHA SIMOES</v>
      </c>
      <c r="F72" s="5">
        <v>72</v>
      </c>
      <c r="G72" s="5">
        <v>9325578331</v>
      </c>
      <c r="H72" s="14" t="s">
        <v>150</v>
      </c>
      <c r="I72" s="11" t="s">
        <v>25</v>
      </c>
      <c r="J72" s="4" t="s">
        <v>26</v>
      </c>
      <c r="K72" s="4" t="s">
        <v>34</v>
      </c>
      <c r="L72" s="3"/>
      <c r="M72" s="3"/>
    </row>
    <row r="73" spans="1:13">
      <c r="A73" s="3" t="s">
        <v>138</v>
      </c>
      <c r="B73" s="4" t="s">
        <v>228</v>
      </c>
      <c r="C73" s="11" t="s">
        <v>11</v>
      </c>
      <c r="D73" s="4" t="s">
        <v>39</v>
      </c>
      <c r="E73" s="3" t="str">
        <f t="shared" si="2"/>
        <v>Mr PRAKASH CHANDRU VELIP</v>
      </c>
      <c r="F73" s="5">
        <v>76</v>
      </c>
      <c r="G73" s="5">
        <v>7066931231</v>
      </c>
      <c r="H73" s="14" t="s">
        <v>150</v>
      </c>
      <c r="I73" s="11" t="s">
        <v>25</v>
      </c>
      <c r="J73" s="4" t="s">
        <v>26</v>
      </c>
      <c r="K73" s="4" t="s">
        <v>40</v>
      </c>
      <c r="L73" s="3"/>
      <c r="M73" s="3"/>
    </row>
    <row r="74" spans="1:13">
      <c r="A74" s="3" t="s">
        <v>138</v>
      </c>
      <c r="B74" s="4" t="s">
        <v>229</v>
      </c>
      <c r="C74" s="11" t="s">
        <v>23</v>
      </c>
      <c r="D74" s="4" t="s">
        <v>44</v>
      </c>
      <c r="E74" s="3" t="str">
        <f t="shared" si="2"/>
        <v>Mrs ANITA BONIFACIO SIMOES</v>
      </c>
      <c r="F74" s="5">
        <v>77</v>
      </c>
      <c r="G74" s="5">
        <v>9168229680</v>
      </c>
      <c r="H74" s="14" t="s">
        <v>150</v>
      </c>
      <c r="I74" s="11" t="s">
        <v>25</v>
      </c>
      <c r="J74" s="4" t="s">
        <v>26</v>
      </c>
      <c r="K74" s="4" t="s">
        <v>34</v>
      </c>
      <c r="L74" s="3"/>
      <c r="M74" s="3"/>
    </row>
    <row r="75" spans="1:13">
      <c r="A75" s="3" t="s">
        <v>138</v>
      </c>
      <c r="B75" s="4" t="s">
        <v>232</v>
      </c>
      <c r="C75" s="11" t="s">
        <v>23</v>
      </c>
      <c r="D75" s="4" t="s">
        <v>37</v>
      </c>
      <c r="E75" s="3" t="str">
        <f t="shared" si="2"/>
        <v>Mrs RAKSHA RAJESH DIVKAR</v>
      </c>
      <c r="F75" s="5">
        <v>80</v>
      </c>
      <c r="G75" s="5">
        <v>9823755384</v>
      </c>
      <c r="H75" s="14" t="s">
        <v>150</v>
      </c>
      <c r="I75" s="11" t="s">
        <v>25</v>
      </c>
      <c r="J75" s="4" t="s">
        <v>26</v>
      </c>
      <c r="K75" s="4" t="s">
        <v>38</v>
      </c>
      <c r="L75" s="3"/>
      <c r="M75" s="3"/>
    </row>
    <row r="76" spans="1:13">
      <c r="A76" s="3" t="s">
        <v>138</v>
      </c>
      <c r="B76" s="4" t="s">
        <v>240</v>
      </c>
      <c r="C76" s="11" t="s">
        <v>11</v>
      </c>
      <c r="D76" s="4" t="s">
        <v>65</v>
      </c>
      <c r="E76" s="3" t="str">
        <f t="shared" si="2"/>
        <v>Mr VIJAY PUNDLIK PATIL</v>
      </c>
      <c r="F76" s="5">
        <v>88</v>
      </c>
      <c r="G76" s="5">
        <v>9725129102</v>
      </c>
      <c r="H76" s="14" t="s">
        <v>150</v>
      </c>
      <c r="I76" s="11" t="s">
        <v>25</v>
      </c>
      <c r="J76" s="4" t="s">
        <v>26</v>
      </c>
      <c r="K76" s="4" t="s">
        <v>66</v>
      </c>
      <c r="L76" s="3"/>
      <c r="M76" s="3"/>
    </row>
    <row r="77" spans="1:13">
      <c r="A77" s="3" t="s">
        <v>138</v>
      </c>
      <c r="B77" s="4" t="s">
        <v>245</v>
      </c>
      <c r="C77" s="11" t="s">
        <v>4</v>
      </c>
      <c r="D77" s="4" t="s">
        <v>28</v>
      </c>
      <c r="E77" s="3" t="str">
        <f t="shared" si="2"/>
        <v>Ms HENCIA MERLYN GOMES</v>
      </c>
      <c r="F77" s="5">
        <v>93</v>
      </c>
      <c r="G77" s="5">
        <v>9158635147</v>
      </c>
      <c r="H77" s="14" t="s">
        <v>150</v>
      </c>
      <c r="I77" s="11" t="s">
        <v>25</v>
      </c>
      <c r="J77" s="4" t="s">
        <v>26</v>
      </c>
      <c r="K77" s="4" t="s">
        <v>7</v>
      </c>
      <c r="L77" s="3"/>
      <c r="M77" s="3"/>
    </row>
    <row r="78" spans="1:13">
      <c r="A78" s="3" t="s">
        <v>138</v>
      </c>
      <c r="B78" s="4" t="s">
        <v>246</v>
      </c>
      <c r="C78" s="11" t="s">
        <v>23</v>
      </c>
      <c r="D78" s="4" t="s">
        <v>24</v>
      </c>
      <c r="E78" s="3" t="str">
        <f t="shared" si="2"/>
        <v>Mrs SUMIKSHA SUDHAKAR DESSAI</v>
      </c>
      <c r="F78" s="5">
        <v>94</v>
      </c>
      <c r="G78" s="5">
        <v>9309708662</v>
      </c>
      <c r="H78" s="14" t="s">
        <v>150</v>
      </c>
      <c r="I78" s="11" t="s">
        <v>25</v>
      </c>
      <c r="J78" s="4" t="s">
        <v>26</v>
      </c>
      <c r="K78" s="4" t="s">
        <v>27</v>
      </c>
      <c r="L78" s="3"/>
      <c r="M78" s="3"/>
    </row>
    <row r="79" spans="1:13">
      <c r="A79" s="3" t="s">
        <v>138</v>
      </c>
      <c r="B79" s="4" t="s">
        <v>248</v>
      </c>
      <c r="C79" s="11" t="s">
        <v>23</v>
      </c>
      <c r="D79" s="4" t="s">
        <v>275</v>
      </c>
      <c r="E79" s="3" t="str">
        <f t="shared" si="2"/>
        <v>Mrs ANISHA UDDHAV NAIK</v>
      </c>
      <c r="F79" s="5">
        <v>96</v>
      </c>
      <c r="G79" s="5">
        <v>8412869992</v>
      </c>
      <c r="H79" s="14" t="s">
        <v>150</v>
      </c>
      <c r="I79" s="11" t="s">
        <v>25</v>
      </c>
      <c r="J79" s="4" t="s">
        <v>26</v>
      </c>
      <c r="K79" s="4" t="s">
        <v>7</v>
      </c>
      <c r="L79" s="3"/>
      <c r="M79" s="3"/>
    </row>
    <row r="80" spans="1:13">
      <c r="A80" s="3" t="s">
        <v>138</v>
      </c>
      <c r="B80" s="4" t="s">
        <v>249</v>
      </c>
      <c r="C80" s="11" t="s">
        <v>4</v>
      </c>
      <c r="D80" s="4" t="s">
        <v>276</v>
      </c>
      <c r="E80" s="3" t="str">
        <f t="shared" si="2"/>
        <v>Ms SARVASVI SANTOSH DEVIDAS</v>
      </c>
      <c r="F80" s="5">
        <v>97</v>
      </c>
      <c r="G80" s="5">
        <v>7507551762</v>
      </c>
      <c r="H80" s="14" t="s">
        <v>150</v>
      </c>
      <c r="I80" s="11" t="s">
        <v>25</v>
      </c>
      <c r="J80" s="4" t="s">
        <v>26</v>
      </c>
      <c r="K80" s="4" t="s">
        <v>27</v>
      </c>
      <c r="L80" s="3"/>
      <c r="M80" s="3"/>
    </row>
    <row r="81" spans="1:13">
      <c r="A81" s="3" t="s">
        <v>138</v>
      </c>
      <c r="B81" s="4" t="s">
        <v>192</v>
      </c>
      <c r="C81" s="11" t="s">
        <v>4</v>
      </c>
      <c r="D81" s="4" t="s">
        <v>102</v>
      </c>
      <c r="E81" s="3" t="str">
        <f t="shared" si="2"/>
        <v>Ms JURELLA PRINCY DA SILVA</v>
      </c>
      <c r="F81" s="5">
        <v>40</v>
      </c>
      <c r="G81" s="5">
        <v>7498260391</v>
      </c>
      <c r="H81" s="13" t="s">
        <v>151</v>
      </c>
      <c r="I81" s="11" t="s">
        <v>74</v>
      </c>
      <c r="J81" s="4" t="s">
        <v>75</v>
      </c>
      <c r="K81" s="4" t="s">
        <v>61</v>
      </c>
      <c r="L81" s="3"/>
      <c r="M81" s="3"/>
    </row>
    <row r="82" spans="1:13">
      <c r="A82" s="3" t="s">
        <v>138</v>
      </c>
      <c r="B82" s="4" t="s">
        <v>200</v>
      </c>
      <c r="C82" s="11" t="s">
        <v>11</v>
      </c>
      <c r="D82" s="4" t="s">
        <v>92</v>
      </c>
      <c r="E82" s="3" t="str">
        <f t="shared" si="2"/>
        <v>Mr JEYAGANESH V</v>
      </c>
      <c r="F82" s="5">
        <v>48</v>
      </c>
      <c r="G82" s="5">
        <v>7483257250</v>
      </c>
      <c r="H82" s="13" t="s">
        <v>151</v>
      </c>
      <c r="I82" s="11" t="s">
        <v>74</v>
      </c>
      <c r="J82" s="4" t="s">
        <v>75</v>
      </c>
      <c r="K82" s="4" t="s">
        <v>22</v>
      </c>
      <c r="L82" s="3"/>
      <c r="M82" s="3"/>
    </row>
    <row r="83" spans="1:13">
      <c r="A83" s="3" t="s">
        <v>138</v>
      </c>
      <c r="B83" s="4" t="s">
        <v>217</v>
      </c>
      <c r="C83" s="11" t="s">
        <v>16</v>
      </c>
      <c r="D83" s="4" t="s">
        <v>73</v>
      </c>
      <c r="E83" s="3" t="str">
        <f t="shared" si="2"/>
        <v>Dr LAXMI JAIRAM KAMAT</v>
      </c>
      <c r="F83" s="5">
        <v>65</v>
      </c>
      <c r="G83" s="5">
        <v>9689501570</v>
      </c>
      <c r="H83" s="13" t="s">
        <v>151</v>
      </c>
      <c r="I83" s="11" t="s">
        <v>74</v>
      </c>
      <c r="J83" s="4" t="s">
        <v>75</v>
      </c>
      <c r="K83" s="4" t="s">
        <v>7</v>
      </c>
      <c r="L83" s="3"/>
      <c r="M83" s="3"/>
    </row>
    <row r="84" spans="1:13">
      <c r="A84" s="3" t="s">
        <v>138</v>
      </c>
      <c r="B84" s="4" t="s">
        <v>153</v>
      </c>
      <c r="C84" s="11" t="s">
        <v>16</v>
      </c>
      <c r="D84" s="4" t="s">
        <v>255</v>
      </c>
      <c r="E84" s="3" t="str">
        <f t="shared" si="2"/>
        <v>Dr JAIMEEL MANOJBHAI SHAH</v>
      </c>
      <c r="F84" s="5">
        <v>1</v>
      </c>
      <c r="G84" s="5">
        <v>9638504566</v>
      </c>
      <c r="H84" s="11" t="s">
        <v>129</v>
      </c>
      <c r="I84" s="11" t="s">
        <v>129</v>
      </c>
      <c r="J84" s="4" t="s">
        <v>279</v>
      </c>
      <c r="K84" s="4" t="s">
        <v>68</v>
      </c>
      <c r="L84" s="8"/>
      <c r="M84" s="6"/>
    </row>
    <row r="85" spans="1:13">
      <c r="A85" s="3" t="s">
        <v>138</v>
      </c>
      <c r="B85" s="4" t="s">
        <v>154</v>
      </c>
      <c r="C85" s="11" t="s">
        <v>11</v>
      </c>
      <c r="D85" s="4" t="s">
        <v>256</v>
      </c>
      <c r="E85" s="3" t="str">
        <f t="shared" si="2"/>
        <v>Mr SHIVENDRA SINGH CHAUHAN</v>
      </c>
      <c r="F85" s="5">
        <v>2</v>
      </c>
      <c r="G85" s="5">
        <v>8073925593</v>
      </c>
      <c r="H85" s="11" t="s">
        <v>129</v>
      </c>
      <c r="I85" s="11" t="s">
        <v>129</v>
      </c>
      <c r="J85" s="4" t="s">
        <v>279</v>
      </c>
      <c r="K85" s="4" t="s">
        <v>68</v>
      </c>
      <c r="L85" s="8"/>
      <c r="M85" s="6"/>
    </row>
    <row r="86" spans="1:13">
      <c r="A86" s="3" t="s">
        <v>138</v>
      </c>
      <c r="B86" s="4" t="s">
        <v>155</v>
      </c>
      <c r="C86" s="11" t="s">
        <v>11</v>
      </c>
      <c r="D86" s="4" t="s">
        <v>257</v>
      </c>
      <c r="E86" s="3" t="str">
        <f t="shared" si="2"/>
        <v>Mr SEJAS JAYENDRAKUMAR PATEL</v>
      </c>
      <c r="F86" s="5">
        <v>3</v>
      </c>
      <c r="G86" s="5">
        <v>9428171545</v>
      </c>
      <c r="H86" s="11" t="s">
        <v>129</v>
      </c>
      <c r="I86" s="11" t="s">
        <v>129</v>
      </c>
      <c r="J86" s="4" t="s">
        <v>130</v>
      </c>
      <c r="K86" s="4" t="s">
        <v>284</v>
      </c>
      <c r="L86" s="8"/>
      <c r="M86" s="6"/>
    </row>
    <row r="87" spans="1:13">
      <c r="A87" s="3" t="s">
        <v>138</v>
      </c>
      <c r="B87" s="4" t="s">
        <v>156</v>
      </c>
      <c r="C87" s="11" t="s">
        <v>11</v>
      </c>
      <c r="D87" s="4" t="s">
        <v>258</v>
      </c>
      <c r="E87" s="3" t="str">
        <f t="shared" si="2"/>
        <v>Mr CHAUHAN HARSHIL NARENDRABHAI</v>
      </c>
      <c r="F87" s="5">
        <v>4</v>
      </c>
      <c r="G87" s="5">
        <v>9687881569</v>
      </c>
      <c r="H87" s="11" t="s">
        <v>129</v>
      </c>
      <c r="I87" s="11" t="s">
        <v>129</v>
      </c>
      <c r="J87" s="4" t="s">
        <v>279</v>
      </c>
      <c r="K87" s="4" t="s">
        <v>57</v>
      </c>
      <c r="L87" s="8"/>
      <c r="M87" s="6"/>
    </row>
    <row r="88" spans="1:13">
      <c r="A88" s="3" t="s">
        <v>138</v>
      </c>
      <c r="B88" s="4" t="s">
        <v>157</v>
      </c>
      <c r="C88" s="11" t="s">
        <v>23</v>
      </c>
      <c r="D88" s="4" t="s">
        <v>259</v>
      </c>
      <c r="E88" s="3" t="str">
        <f t="shared" si="2"/>
        <v>Mrs ISHITA JAYENDRASINH RANA</v>
      </c>
      <c r="F88" s="5">
        <v>5</v>
      </c>
      <c r="G88" s="5">
        <v>8866451240</v>
      </c>
      <c r="H88" s="11" t="s">
        <v>129</v>
      </c>
      <c r="I88" s="11" t="s">
        <v>129</v>
      </c>
      <c r="J88" s="4" t="s">
        <v>279</v>
      </c>
      <c r="K88" s="4" t="s">
        <v>57</v>
      </c>
      <c r="L88" s="8"/>
      <c r="M88" s="6"/>
    </row>
    <row r="89" spans="1:13">
      <c r="A89" s="3" t="s">
        <v>138</v>
      </c>
      <c r="B89" s="4" t="s">
        <v>158</v>
      </c>
      <c r="C89" s="11" t="s">
        <v>4</v>
      </c>
      <c r="D89" s="4" t="s">
        <v>260</v>
      </c>
      <c r="E89" s="3" t="str">
        <f t="shared" si="2"/>
        <v>Ms MANSI VINODBHAI MAKWANA</v>
      </c>
      <c r="F89" s="5">
        <v>6</v>
      </c>
      <c r="G89" s="5">
        <v>7359703767</v>
      </c>
      <c r="H89" s="11" t="s">
        <v>129</v>
      </c>
      <c r="I89" s="11" t="s">
        <v>129</v>
      </c>
      <c r="J89" s="4" t="s">
        <v>279</v>
      </c>
      <c r="K89" s="4" t="s">
        <v>285</v>
      </c>
      <c r="L89" s="8"/>
      <c r="M89" s="6"/>
    </row>
    <row r="90" spans="1:13">
      <c r="A90" s="3" t="s">
        <v>138</v>
      </c>
      <c r="B90" s="4" t="s">
        <v>159</v>
      </c>
      <c r="C90" s="11" t="s">
        <v>11</v>
      </c>
      <c r="D90" s="4" t="s">
        <v>261</v>
      </c>
      <c r="E90" s="3" t="str">
        <f t="shared" si="2"/>
        <v>Mr DIVYANSHU ROHIT PANDAY</v>
      </c>
      <c r="F90" s="5">
        <v>7</v>
      </c>
      <c r="G90" s="5">
        <v>9016521715</v>
      </c>
      <c r="H90" s="11" t="s">
        <v>129</v>
      </c>
      <c r="I90" s="11" t="s">
        <v>129</v>
      </c>
      <c r="J90" s="4" t="s">
        <v>279</v>
      </c>
      <c r="K90" s="4" t="s">
        <v>285</v>
      </c>
      <c r="L90" s="8"/>
      <c r="M90" s="6"/>
    </row>
    <row r="91" spans="1:13">
      <c r="A91" s="3" t="s">
        <v>138</v>
      </c>
      <c r="B91" s="4" t="s">
        <v>160</v>
      </c>
      <c r="C91" s="11" t="s">
        <v>11</v>
      </c>
      <c r="D91" s="4" t="s">
        <v>262</v>
      </c>
      <c r="E91" s="3" t="str">
        <f t="shared" si="2"/>
        <v>Mr KRUSHNAKANT SENGAL</v>
      </c>
      <c r="F91" s="5">
        <v>8</v>
      </c>
      <c r="G91" s="5">
        <v>7405761704</v>
      </c>
      <c r="H91" s="11" t="s">
        <v>129</v>
      </c>
      <c r="I91" s="11" t="s">
        <v>129</v>
      </c>
      <c r="J91" s="4" t="s">
        <v>279</v>
      </c>
      <c r="K91" s="4" t="s">
        <v>285</v>
      </c>
      <c r="L91" s="8"/>
      <c r="M91" s="6"/>
    </row>
    <row r="92" spans="1:13">
      <c r="A92" s="3" t="s">
        <v>138</v>
      </c>
      <c r="B92" s="4" t="s">
        <v>161</v>
      </c>
      <c r="C92" s="11" t="s">
        <v>4</v>
      </c>
      <c r="D92" s="4" t="s">
        <v>263</v>
      </c>
      <c r="E92" s="3" t="str">
        <f t="shared" si="2"/>
        <v>Ms HETVI ALPESHKUMAR JOSHI</v>
      </c>
      <c r="F92" s="5">
        <v>9</v>
      </c>
      <c r="G92" s="5">
        <v>8799159099</v>
      </c>
      <c r="H92" s="11" t="s">
        <v>129</v>
      </c>
      <c r="I92" s="11" t="s">
        <v>129</v>
      </c>
      <c r="J92" s="4" t="s">
        <v>279</v>
      </c>
      <c r="K92" s="4" t="s">
        <v>285</v>
      </c>
      <c r="L92" s="8"/>
      <c r="M92" s="6"/>
    </row>
    <row r="93" spans="1:13">
      <c r="A93" s="3" t="s">
        <v>138</v>
      </c>
      <c r="B93" s="4" t="s">
        <v>162</v>
      </c>
      <c r="C93" s="11" t="s">
        <v>11</v>
      </c>
      <c r="D93" s="4" t="s">
        <v>264</v>
      </c>
      <c r="E93" s="3" t="str">
        <f t="shared" si="2"/>
        <v>Mr RACHIT PINAKINBHAI ANJARIA</v>
      </c>
      <c r="F93" s="5">
        <v>10</v>
      </c>
      <c r="G93" s="5">
        <v>8866624559</v>
      </c>
      <c r="H93" s="11" t="s">
        <v>129</v>
      </c>
      <c r="I93" s="11" t="s">
        <v>129</v>
      </c>
      <c r="J93" s="4" t="s">
        <v>280</v>
      </c>
      <c r="K93" s="4" t="s">
        <v>68</v>
      </c>
      <c r="L93" s="8"/>
      <c r="M93" s="6"/>
    </row>
    <row r="94" spans="1:13">
      <c r="A94" s="3" t="s">
        <v>138</v>
      </c>
      <c r="B94" s="4" t="s">
        <v>163</v>
      </c>
      <c r="C94" s="11" t="s">
        <v>11</v>
      </c>
      <c r="D94" s="4" t="s">
        <v>265</v>
      </c>
      <c r="E94" s="3" t="str">
        <f t="shared" si="2"/>
        <v>Mr ZALAK MAYURBHAI DANI</v>
      </c>
      <c r="F94" s="5">
        <v>11</v>
      </c>
      <c r="G94" s="5">
        <v>9825266456</v>
      </c>
      <c r="H94" s="11" t="s">
        <v>129</v>
      </c>
      <c r="I94" s="11" t="s">
        <v>129</v>
      </c>
      <c r="J94" s="4" t="s">
        <v>281</v>
      </c>
      <c r="K94" s="4" t="s">
        <v>286</v>
      </c>
      <c r="L94" s="8"/>
      <c r="M94" s="6"/>
    </row>
    <row r="95" spans="1:13">
      <c r="A95" s="3" t="s">
        <v>138</v>
      </c>
      <c r="B95" s="4" t="s">
        <v>164</v>
      </c>
      <c r="C95" s="11" t="s">
        <v>4</v>
      </c>
      <c r="D95" s="4" t="s">
        <v>266</v>
      </c>
      <c r="E95" s="3" t="str">
        <f t="shared" si="2"/>
        <v>Ms ANJALI ASHOKBHAI PANSERIYA</v>
      </c>
      <c r="F95" s="5">
        <v>12</v>
      </c>
      <c r="G95" s="5">
        <v>8160554174</v>
      </c>
      <c r="H95" s="11" t="s">
        <v>129</v>
      </c>
      <c r="I95" s="11" t="s">
        <v>129</v>
      </c>
      <c r="J95" s="4" t="s">
        <v>280</v>
      </c>
      <c r="K95" s="4" t="s">
        <v>287</v>
      </c>
      <c r="L95" s="8"/>
      <c r="M95" s="6"/>
    </row>
    <row r="96" spans="1:13">
      <c r="A96" s="3" t="s">
        <v>138</v>
      </c>
      <c r="B96" s="4" t="s">
        <v>165</v>
      </c>
      <c r="C96" s="11" t="s">
        <v>11</v>
      </c>
      <c r="D96" s="4" t="s">
        <v>267</v>
      </c>
      <c r="E96" s="3" t="str">
        <f t="shared" si="2"/>
        <v>Mr DIVYANG JITENDRAKUMAR JOSHI</v>
      </c>
      <c r="F96" s="5">
        <v>13</v>
      </c>
      <c r="G96" s="5">
        <v>9427386078</v>
      </c>
      <c r="H96" s="11" t="s">
        <v>129</v>
      </c>
      <c r="I96" s="11" t="s">
        <v>129</v>
      </c>
      <c r="J96" s="4" t="s">
        <v>280</v>
      </c>
      <c r="K96" s="4" t="s">
        <v>287</v>
      </c>
      <c r="L96" s="8"/>
      <c r="M96" s="6"/>
    </row>
    <row r="97" spans="1:13">
      <c r="A97" s="3" t="s">
        <v>138</v>
      </c>
      <c r="B97" s="4" t="s">
        <v>166</v>
      </c>
      <c r="C97" s="11" t="s">
        <v>11</v>
      </c>
      <c r="D97" s="4" t="s">
        <v>268</v>
      </c>
      <c r="E97" s="3" t="str">
        <f t="shared" si="2"/>
        <v>Mr VAIDE JAYMALBHAI ODEDRA</v>
      </c>
      <c r="F97" s="5">
        <v>14</v>
      </c>
      <c r="G97" s="5">
        <v>8980900981</v>
      </c>
      <c r="H97" s="11" t="s">
        <v>129</v>
      </c>
      <c r="I97" s="11" t="s">
        <v>129</v>
      </c>
      <c r="J97" s="4" t="s">
        <v>281</v>
      </c>
      <c r="K97" s="4" t="s">
        <v>288</v>
      </c>
      <c r="L97" s="8"/>
      <c r="M97" s="6"/>
    </row>
    <row r="98" spans="1:13">
      <c r="A98" s="3" t="s">
        <v>138</v>
      </c>
      <c r="B98" s="4" t="s">
        <v>167</v>
      </c>
      <c r="C98" s="11" t="s">
        <v>11</v>
      </c>
      <c r="D98" s="4" t="s">
        <v>269</v>
      </c>
      <c r="E98" s="3" t="str">
        <f t="shared" si="2"/>
        <v>Mr DHRUVIL MUKESH SHAH</v>
      </c>
      <c r="F98" s="5">
        <v>15</v>
      </c>
      <c r="G98" s="5">
        <v>9714991311</v>
      </c>
      <c r="H98" s="11" t="s">
        <v>129</v>
      </c>
      <c r="I98" s="11" t="s">
        <v>129</v>
      </c>
      <c r="J98" s="4" t="s">
        <v>282</v>
      </c>
      <c r="K98" s="4" t="s">
        <v>289</v>
      </c>
      <c r="L98" s="8"/>
      <c r="M98" s="6"/>
    </row>
    <row r="99" spans="1:13">
      <c r="A99" s="3" t="s">
        <v>138</v>
      </c>
      <c r="B99" s="4" t="s">
        <v>168</v>
      </c>
      <c r="C99" s="11" t="s">
        <v>11</v>
      </c>
      <c r="D99" s="4" t="s">
        <v>270</v>
      </c>
      <c r="E99" s="3" t="str">
        <f t="shared" si="2"/>
        <v>Mr HARIHAR HARESHBHAI MEHTA</v>
      </c>
      <c r="F99" s="5">
        <v>16</v>
      </c>
      <c r="G99" s="5">
        <v>7990942150</v>
      </c>
      <c r="H99" s="11" t="s">
        <v>129</v>
      </c>
      <c r="I99" s="11" t="s">
        <v>129</v>
      </c>
      <c r="J99" s="4" t="s">
        <v>283</v>
      </c>
      <c r="K99" s="4" t="s">
        <v>290</v>
      </c>
      <c r="L99" s="8"/>
      <c r="M99" s="6"/>
    </row>
    <row r="100" spans="1:13">
      <c r="A100" s="3" t="s">
        <v>138</v>
      </c>
      <c r="B100" s="4" t="s">
        <v>169</v>
      </c>
      <c r="C100" s="11" t="s">
        <v>11</v>
      </c>
      <c r="D100" s="4" t="s">
        <v>271</v>
      </c>
      <c r="E100" s="3" t="str">
        <f t="shared" ref="E100:E131" si="3">_xlfn.CONCAT(C100," ",D100)</f>
        <v>Mr DEMO STAFF</v>
      </c>
      <c r="F100" s="5">
        <v>17</v>
      </c>
      <c r="G100" s="5">
        <v>9510232922</v>
      </c>
      <c r="H100" s="11" t="s">
        <v>129</v>
      </c>
      <c r="I100" s="11" t="s">
        <v>129</v>
      </c>
      <c r="J100" s="4" t="s">
        <v>280</v>
      </c>
      <c r="K100" s="4" t="s">
        <v>22</v>
      </c>
      <c r="L100" s="8"/>
      <c r="M100" s="6"/>
    </row>
    <row r="101" spans="1:13">
      <c r="A101" s="3" t="s">
        <v>138</v>
      </c>
      <c r="B101" s="4" t="s">
        <v>170</v>
      </c>
      <c r="C101" s="11" t="s">
        <v>11</v>
      </c>
      <c r="D101" s="4" t="s">
        <v>272</v>
      </c>
      <c r="E101" s="3" t="str">
        <f t="shared" si="3"/>
        <v>Mr AJAYKUMAR NATWARSINH GADHAVI</v>
      </c>
      <c r="F101" s="5">
        <v>18</v>
      </c>
      <c r="G101" s="5">
        <v>7069113636</v>
      </c>
      <c r="H101" s="11" t="s">
        <v>129</v>
      </c>
      <c r="I101" s="11" t="s">
        <v>129</v>
      </c>
      <c r="J101" s="4" t="s">
        <v>283</v>
      </c>
      <c r="K101" s="4" t="s">
        <v>291</v>
      </c>
      <c r="L101" s="8"/>
      <c r="M101" s="6"/>
    </row>
    <row r="102" spans="1:13">
      <c r="A102" s="3" t="s">
        <v>138</v>
      </c>
      <c r="B102" s="4" t="s">
        <v>171</v>
      </c>
      <c r="C102" s="11" t="s">
        <v>11</v>
      </c>
      <c r="D102" s="4" t="s">
        <v>273</v>
      </c>
      <c r="E102" s="3" t="str">
        <f t="shared" si="3"/>
        <v>Mr JAIMIN MUKESHBHAI MACHHI</v>
      </c>
      <c r="F102" s="5">
        <v>19</v>
      </c>
      <c r="G102" s="5">
        <v>7698960696</v>
      </c>
      <c r="H102" s="11" t="s">
        <v>129</v>
      </c>
      <c r="I102" s="11" t="s">
        <v>129</v>
      </c>
      <c r="J102" s="4" t="s">
        <v>133</v>
      </c>
      <c r="K102" s="4" t="s">
        <v>61</v>
      </c>
      <c r="L102" s="8"/>
      <c r="M102" s="6"/>
    </row>
    <row r="103" spans="1:13">
      <c r="A103" s="3" t="s">
        <v>138</v>
      </c>
      <c r="B103" s="4" t="s">
        <v>172</v>
      </c>
      <c r="C103" s="11" t="s">
        <v>11</v>
      </c>
      <c r="D103" s="4" t="s">
        <v>274</v>
      </c>
      <c r="E103" s="3" t="str">
        <f t="shared" si="3"/>
        <v>Mr CHIRAG KANUBHAI THAKKAR</v>
      </c>
      <c r="F103" s="5">
        <v>20</v>
      </c>
      <c r="G103" s="5">
        <v>9824404793</v>
      </c>
      <c r="H103" s="11" t="s">
        <v>129</v>
      </c>
      <c r="I103" s="11" t="s">
        <v>129</v>
      </c>
      <c r="J103" s="4" t="s">
        <v>133</v>
      </c>
      <c r="K103" s="4" t="s">
        <v>292</v>
      </c>
      <c r="L103" s="3"/>
      <c r="M103" s="3"/>
    </row>
    <row r="104" spans="1:13">
      <c r="A104" s="3" t="s">
        <v>138</v>
      </c>
      <c r="B104" s="4" t="s">
        <v>178</v>
      </c>
      <c r="C104" s="11" t="s">
        <v>11</v>
      </c>
      <c r="D104" s="4" t="s">
        <v>128</v>
      </c>
      <c r="E104" s="3" t="str">
        <f t="shared" si="3"/>
        <v>Mr KARMADIPSINH K VALA</v>
      </c>
      <c r="F104" s="5">
        <v>26</v>
      </c>
      <c r="G104" s="5">
        <v>9586833555</v>
      </c>
      <c r="H104" s="11" t="s">
        <v>129</v>
      </c>
      <c r="I104" s="11" t="s">
        <v>129</v>
      </c>
      <c r="J104" s="4" t="s">
        <v>130</v>
      </c>
      <c r="K104" s="4" t="s">
        <v>131</v>
      </c>
      <c r="L104" s="3"/>
      <c r="M104" s="3"/>
    </row>
    <row r="105" spans="1:13">
      <c r="A105" s="3" t="s">
        <v>138</v>
      </c>
      <c r="B105" s="4" t="s">
        <v>203</v>
      </c>
      <c r="C105" s="11" t="s">
        <v>11</v>
      </c>
      <c r="D105" s="4" t="s">
        <v>132</v>
      </c>
      <c r="E105" s="3" t="str">
        <f t="shared" si="3"/>
        <v>Mr MADHAV REDDY</v>
      </c>
      <c r="F105" s="5">
        <v>51</v>
      </c>
      <c r="G105" s="5">
        <v>7981516530</v>
      </c>
      <c r="H105" s="11" t="s">
        <v>129</v>
      </c>
      <c r="I105" s="11" t="s">
        <v>129</v>
      </c>
      <c r="J105" s="4" t="s">
        <v>133</v>
      </c>
      <c r="K105" s="4" t="s">
        <v>134</v>
      </c>
      <c r="L105" s="3"/>
      <c r="M105" s="3"/>
    </row>
  </sheetData>
  <sortState xmlns:xlrd2="http://schemas.microsoft.com/office/spreadsheetml/2017/richdata2" ref="A4:M105">
    <sortCondition ref="I7:I105"/>
  </sortState>
  <hyperlinks>
    <hyperlink ref="B2" r:id="rId1" xr:uid="{C844AE2D-D667-487F-8EC8-6CF32E94BEB2}"/>
    <hyperlink ref="B3" r:id="rId2" xr:uid="{53FDBEC1-DFD1-4AB5-BDFF-8E29FAB8E246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</dc:creator>
  <cp:lastModifiedBy>Pranav Rathi</cp:lastModifiedBy>
  <dcterms:created xsi:type="dcterms:W3CDTF">2025-08-13T06:00:46Z</dcterms:created>
  <dcterms:modified xsi:type="dcterms:W3CDTF">2026-01-15T05:39:12Z</dcterms:modified>
</cp:coreProperties>
</file>